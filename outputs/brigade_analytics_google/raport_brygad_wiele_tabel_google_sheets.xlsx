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1358655d2d44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f58b9d2ddf04a96"/>
    <x:sheet xmlns:r="http://schemas.openxmlformats.org/officeDocument/2006/relationships" name="Ustawienia" sheetId="2" r:id="Red38fbf1e56c41c1"/>
    <x:sheet xmlns:r="http://schemas.openxmlformats.org/officeDocument/2006/relationships" name="Dane scalone" sheetId="3" r:id="R7ee2ce9da9fa48ea"/>
    <x:sheet xmlns:r="http://schemas.openxmlformats.org/officeDocument/2006/relationships" name="KPI brygad" sheetId="4" r:id="R9960b8a09e43456b"/>
    <x:sheet xmlns:r="http://schemas.openxmlformats.org/officeDocument/2006/relationships" name="Tygodnie" sheetId="5" r:id="Rd2f638bbf4ca482e"/>
    <x:sheet xmlns:r="http://schemas.openxmlformats.org/officeDocument/2006/relationships" name="Alerty" sheetId="6" r:id="Rf3569659a02448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yyyy-mm-dd"/>
    <x:numFmt numFmtId="202" formatCode="#,##0"/>
    <x:numFmt numFmtId="203" formatCode="0.00"/>
    <x:numFmt numFmtId="204" formatCode="$#,##0;[Red]($#,##0);-"/>
  </x:numFmts>
  <x:fonts count="8">
    <x:font>
      <x:sz val="11"/>
      <x:name val="Carlito"/>
    </x:font>
    <x:font>
      <x:sz val="10"/>
      <x:color rgb="FF111827"/>
      <x:name val="Aptos"/>
    </x:font>
    <x:font>
      <x:b/>
      <x:sz val="16"/>
      <x:color rgb="FFFFFFFF"/>
      <x:name val="Aptos"/>
    </x:font>
    <x:font>
      <x:i/>
      <x:sz val="11"/>
      <x:color rgb="FF64748B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1"/>
      <x:color rgb="FF64748B"/>
      <x:name val="Carlito"/>
    </x:font>
    <x:font>
      <x:b/>
      <x:sz val="12"/>
      <x:color rgb="FF17324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7F9FC"/>
      </x:patternFill>
    </x:fill>
    <x:fill>
      <x:patternFill patternType="solid">
        <x:fgColor rgb="FF0F766E"/>
      </x:patternFill>
    </x:fill>
    <x:fill>
      <x:patternFill patternType="solid">
        <x:fgColor rgb="FFFFFFFF"/>
      </x:patternFill>
    </x:fill>
    <x:fill>
      <x:patternFill patternType="solid">
        <x:fgColor rgb="FFFFF7D6"/>
      </x:patternFill>
    </x:fill>
  </x:fills>
  <x:borders count="10">
    <x:border/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</x:borders>
  <x:cellStyleXfs count="1">
    <x:xf numFmtId="0" fontId="0" fillId="0" borderId="0"/>
  </x:cellStyleXfs>
  <x:cellXfs count="8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2" xfId="0" applyNumberFormat="1" applyFont="1" applyFill="1" applyBorder="1"/>
    <x:xf numFmtId="0" fontId="0" fillId="5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3" xfId="0" applyNumberFormat="1" applyFont="1" applyFill="1" applyBorder="1"/>
    <x:xf numFmtId="0" fontId="0" fillId="5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5" xfId="0" applyNumberFormat="1" applyFont="1" applyFill="1" applyBorder="1"/>
    <x:xf numFmtId="0" fontId="0" fillId="5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6" xfId="0" applyNumberFormat="1" applyFont="1" applyFill="1" applyBorder="1"/>
    <x:xf numFmtId="0" fontId="0" fillId="5" borderId="4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6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2" xfId="0" applyNumberFormat="1" applyFont="1" applyFill="1" applyBorder="1"/>
    <x:xf numFmtId="0" fontId="0" fillId="6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5" xfId="0" applyNumberFormat="1" applyFont="1" applyFill="1" applyBorder="1"/>
    <x:xf numFmtId="0" fontId="0" fillId="6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6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6" borderId="2" xfId="0" applyNumberFormat="1" applyFont="1" applyFill="1" applyBorder="1"/>
    <x:xf numFmtId="0" fontId="5" fillId="6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6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6" borderId="5" xfId="0" applyNumberFormat="1" applyFont="1" applyFill="1" applyBorder="1"/>
    <x:xf numFmtId="0" fontId="5" fillId="6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6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6" borderId="2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6" borderId="4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6" borderId="5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5" borderId="8" xfId="0" applyNumberFormat="1" applyFont="1" applyFill="1" applyBorder="1"/>
    <x:xf numFmtId="0" fontId="0" fillId="5" borderId="1" xfId="0" applyNumberFormat="1" applyFont="1" applyFill="1" applyBorder="1"/>
    <x:xf numFmtId="201" fontId="0" fillId="5" borderId="1" xfId="0" applyNumberFormat="1" applyFont="1" applyFill="1" applyBorder="1"/>
    <x:xf numFmtId="201" fontId="0" fillId="5" borderId="4" xfId="0" applyNumberFormat="1" applyFont="1" applyFill="1" applyBorder="1"/>
    <x:xf numFmtId="201" fontId="0" fillId="5" borderId="7" xfId="0" applyNumberFormat="1" applyFont="1" applyFill="1" applyBorder="1"/>
    <x:xf numFmtId="202" fontId="0" fillId="5" borderId="2" xfId="0" applyNumberFormat="1" applyFont="1" applyFill="1" applyBorder="1"/>
    <x:xf numFmtId="202" fontId="0" fillId="5" borderId="5" xfId="0" applyNumberFormat="1" applyFont="1" applyFill="1" applyBorder="1"/>
    <x:xf numFmtId="202" fontId="0" fillId="5" borderId="8" xfId="0" applyNumberFormat="1" applyFont="1" applyFill="1" applyBorder="1"/>
    <x:xf numFmtId="200" fontId="0" fillId="5" borderId="2" xfId="0" applyNumberFormat="1" applyFont="1" applyFill="1" applyBorder="1"/>
    <x:xf numFmtId="200" fontId="0" fillId="5" borderId="5" xfId="0" applyNumberFormat="1" applyFont="1" applyFill="1" applyBorder="1"/>
    <x:xf numFmtId="203" fontId="0" fillId="5" borderId="2" xfId="0" applyNumberFormat="1" applyFont="1" applyFill="1" applyBorder="1"/>
    <x:xf numFmtId="203" fontId="0" fillId="5" borderId="5" xfId="0" applyNumberFormat="1" applyFont="1" applyFill="1" applyBorder="1"/>
    <x:xf numFmtId="203" fontId="0" fillId="5" borderId="8" xfId="0" applyNumberFormat="1" applyFont="1" applyFill="1" applyBorder="1"/>
    <x:xf numFmtId="204" fontId="0" fillId="5" borderId="2" xfId="0" applyNumberFormat="1" applyFont="1" applyFill="1" applyBorder="1"/>
    <x:xf numFmtId="204" fontId="0" fillId="5" borderId="3" xfId="0" applyNumberFormat="1" applyFont="1" applyFill="1" applyBorder="1"/>
    <x:xf numFmtId="204" fontId="0" fillId="5" borderId="5" xfId="0" applyNumberFormat="1" applyFont="1" applyFill="1" applyBorder="1"/>
    <x:xf numFmtId="204" fontId="0" fillId="5" borderId="6" xfId="0" applyNumberFormat="1" applyFont="1" applyFill="1" applyBorder="1"/>
    <x:xf numFmtId="204" fontId="0" fillId="5" borderId="8" xfId="0" applyNumberFormat="1" applyFont="1" applyFill="1" applyBorder="1"/>
    <x:xf numFmtId="204" fontId="0" fillId="5" borderId="9" xfId="0" applyNumberFormat="1" applyFont="1" applyFill="1" applyBorder="1"/>
    <x:xf numFmtId="0" fontId="6" fillId="5" borderId="1" xfId="0" applyNumberFormat="1" applyFont="1" applyFill="1" applyBorder="1"/>
    <x:xf numFmtId="0" fontId="6" fillId="5" borderId="2" xfId="0" applyNumberFormat="1" applyFont="1" applyFill="1" applyBorder="1"/>
    <x:xf numFmtId="0" fontId="6" fillId="5" borderId="3" xfId="0" applyNumberFormat="1" applyFont="1" applyFill="1" applyBorder="1"/>
    <x:xf numFmtId="0" fontId="6" fillId="5" borderId="7" xfId="0" applyNumberFormat="1" applyFont="1" applyFill="1" applyBorder="1"/>
    <x:xf numFmtId="0" fontId="6" fillId="5" borderId="8" xfId="0" applyNumberFormat="1" applyFont="1" applyFill="1" applyBorder="1"/>
    <x:xf numFmtId="0" fontId="6" fillId="5" borderId="9" xfId="0" applyNumberFormat="1" applyFont="1" applyFill="1" applyBorder="1"/>
    <x:xf numFmtId="0" fontId="7" fillId="5" borderId="2" xfId="0" applyNumberFormat="1" applyFont="1" applyFill="1" applyBorder="1"/>
    <x:xf numFmtId="0" fontId="7" fillId="5" borderId="3" xfId="0" applyNumberFormat="1" applyFont="1" applyFill="1" applyBorder="1"/>
    <x:xf numFmtId="0" fontId="7" fillId="5" borderId="5" xfId="0" applyNumberFormat="1" applyFont="1" applyFill="1" applyBorder="1"/>
    <x:xf numFmtId="0" fontId="7" fillId="5" borderId="6" xfId="0" applyNumberFormat="1" applyFont="1" applyFill="1" applyBorder="1"/>
    <x:xf numFmtId="0" fontId="7" fillId="5" borderId="8" xfId="0" applyNumberFormat="1" applyFont="1" applyFill="1" applyBorder="1"/>
    <x:xf numFmtId="0" fontId="7" fillId="5" borderId="9" xfId="0" applyNumberFormat="1" applyFont="1" applyFill="1" applyBorder="1"/>
    <x:xf numFmtId="202" fontId="7" fillId="5" borderId="2" xfId="0" applyNumberFormat="1" applyFont="1" applyFill="1" applyBorder="1"/>
    <x:xf numFmtId="200" fontId="7" fillId="5" borderId="2" xfId="0" applyNumberFormat="1" applyFont="1" applyFill="1" applyBorder="1"/>
    <x:xf numFmtId="204" fontId="7" fillId="5" borderId="3" xfId="0" applyNumberFormat="1" applyFont="1" applyFill="1" applyBorder="1"/>
    <x:xf numFmtId="202" fontId="7" fillId="5" borderId="8" xfId="0" applyNumberFormat="1" applyFont="1" applyFill="1" applyBorder="1"/>
    <x:xf numFmtId="204" fontId="7" fillId="5" borderId="8" xfId="0" applyNumberFormat="1" applyFont="1" applyFill="1" applyBorder="1"/>
  </x:cellXfs>
  <x:cellStyles count="1">
    <x:cellStyle name="Normal" xfId="0"/>
  </x:cellStyles>
  <x:dxfs count="5"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16803C"/>
      </x:font>
      <x:fill>
        <x:patternFill patternType="solid">
          <x:bgColor rgb="FFE7F5F1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16803C"/>
      </x:font>
      <x:fill>
        <x:patternFill patternType="solid">
          <x:bgColor rgb="FFE7F5F1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861cb508af4018" /><Relationship Type="http://schemas.openxmlformats.org/officeDocument/2006/relationships/theme" Target="/xl/theme/theme1.xml" Id="R4431e719dc5341d3" /><Relationship Type="http://schemas.microsoft.com/office/2022/11/relationships/FeaturePropertyBag" Target="/xl/featurePropertyBag/featurePropertyBag.xml" Id="R2d0696a3407a44ed" /><Relationship Type="http://schemas.openxmlformats.org/officeDocument/2006/relationships/sharedStrings" Target="/xl/sharedStrings.xml" Id="R72ee79cf75d84a12" /><Relationship Type="http://schemas.openxmlformats.org/officeDocument/2006/relationships/worksheet" Target="/xl/worksheets/sheet1.xml" Id="R3f58b9d2ddf04a96" /><Relationship Type="http://schemas.openxmlformats.org/officeDocument/2006/relationships/worksheet" Target="/xl/worksheets/sheet2.xml" Id="Red38fbf1e56c41c1" /><Relationship Type="http://schemas.openxmlformats.org/officeDocument/2006/relationships/worksheet" Target="/xl/worksheets/sheet3.xml" Id="R7ee2ce9da9fa48ea" /><Relationship Type="http://schemas.openxmlformats.org/officeDocument/2006/relationships/worksheet" Target="/xl/worksheets/sheet4.xml" Id="R9960b8a09e43456b" /><Relationship Type="http://schemas.openxmlformats.org/officeDocument/2006/relationships/worksheet" Target="/xl/worksheets/sheet5.xml" Id="Rd2f638bbf4ca482e" /><Relationship Type="http://schemas.openxmlformats.org/officeDocument/2006/relationships/worksheet" Target="/xl/worksheets/sheet6.xml" Id="Rf3569659a024489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2306582a404478c" /><Relationship Type="http://schemas.openxmlformats.org/officeDocument/2006/relationships/chart" Target="/xl/drawings/charts/chart2.xml" Id="R8827b28f5d0a4fd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Ranking brygad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Zadania / h</c:v>
          </c:tx>
          <c:cat>
            <c:strRef>
              <c:f>'Dashboard'!$A$12:$A$14</c:f>
              <c:strCache>
                <c:ptCount val="0"/>
              </c:strCache>
            </c:strRef>
          </c:cat>
          <c:val>
            <c:numRef>
              <c:f>'Dashboard'!$B$12:$B$14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Completion %</c:v>
          </c:tx>
          <c:cat>
            <c:strRef>
              <c:f>'Dashboard'!$A$12:$A$14</c:f>
              <c:strCache>
                <c:ptCount val="0"/>
              </c:strCache>
            </c:strRef>
          </c:cat>
          <c:val>
            <c:numRef>
              <c:f>'Dashboard'!$C$12:$C$14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Delay %</c:v>
          </c:tx>
          <c:cat>
            <c:strRef>
              <c:f>'Dashboard'!$A$12:$A$14</c:f>
              <c:strCache>
                <c:ptCount val="0"/>
              </c:strCache>
            </c:strRef>
          </c:cat>
          <c:val>
            <c:numRef>
              <c:f>'Dashboard'!$D$12:$D$14</c:f>
              <c:numCache>
                <c:formatCode>0.0%</c:formatCode>
                <c:ptCount val="0"/>
              </c:numCache>
            </c:numRef>
          </c:val>
        </c:ser>
        <c:ser>
          <c:idx val="3"/>
          <c:order val="3"/>
          <c:tx>
            <c:v>Marza</c:v>
          </c:tx>
          <c:cat>
            <c:strRef>
              <c:f>'Dashboard'!$A$12:$A$14</c:f>
              <c:strCache>
                <c:ptCount val="0"/>
              </c:strCache>
            </c:strRef>
          </c:cat>
          <c:val>
            <c:numRef>
              <c:f>'Dashboard'!$E$12:$E$14</c:f>
              <c:numCache>
                <c:formatCode>$#,##0;[Red]($#,##0);-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Trend tygodniowy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Zadania</c:v>
          </c:tx>
          <c:cat>
            <c:strRef>
              <c:f>'Dashboard'!$A$20:$A$24</c:f>
              <c:strCache>
                <c:ptCount val="0"/>
              </c:strCache>
            </c:strRef>
          </c:cat>
          <c:val>
            <c:numRef>
              <c:f>'Dashboard'!$B$20:$B$24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Opoznione</c:v>
          </c:tx>
          <c:cat>
            <c:strRef>
              <c:f>'Dashboard'!$A$20:$A$24</c:f>
              <c:strCache>
                <c:ptCount val="0"/>
              </c:strCache>
            </c:strRef>
          </c:cat>
          <c:val>
            <c:numRef>
              <c:f>'Dashboard'!$C$20:$C$24</c:f>
              <c:numCache>
                <c:formatCode>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Marza</c:v>
          </c:tx>
          <c:cat>
            <c:strRef>
              <c:f>'Dashboard'!$A$20:$A$24</c:f>
              <c:strCache>
                <c:ptCount val="0"/>
              </c:strCache>
            </c:strRef>
          </c:cat>
          <c:val>
            <c:numRef>
              <c:f>'Dashboard'!$D$20:$D$24</c:f>
              <c:numCache>
                <c:formatCode>$#,##0;[Red]($#,##0);-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9</xdr:row>
      <xdr:rowOff>0</xdr:rowOff>
    </xdr:from>
    <xdr:to>
      <xdr:col>10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2306582a404478c"/>
        </a:graphicData>
      </a:graphic>
    </xdr:graphicFrame>
    <xdr:clientData/>
  </xdr:twoCellAnchor>
  <xdr:twoCellAnchor>
    <xdr:from>
      <xdr:col>6</xdr:col>
      <xdr:colOff>0</xdr:colOff>
      <xdr:row>24</xdr:row>
      <xdr:rowOff>0</xdr:rowOff>
    </xdr:from>
    <xdr:to>
      <xdr:col>10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827b28f5d0a4fda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aneBrygadScalone" displayName="DaneBrygadScalone" ref="A4:K104" headerRowCount="1">
  <x:tableColumns count="11">
    <x:tableColumn id="1" name="Data"/>
    <x:tableColumn id="2" name="Brygada"/>
    <x:tableColumn id="3" name="Kierownik"/>
    <x:tableColumn id="4" name="Region"/>
    <x:tableColumn id="5" name="Zadania"/>
    <x:tableColumn id="6" name="Zakonczone"/>
    <x:tableColumn id="7" name="Opoznione"/>
    <x:tableColumn id="8" name="Roboczogodziny"/>
    <x:tableColumn id="9" name="Koszt"/>
    <x:tableColumn id="10" name="Przychod"/>
    <x:tableColumn id="11" name="Uwagi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477f94df0f94c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41e84e38430b40b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16.25" hidden="0" customWidth="1"/>
    <x:col min="3" max="3" width="17.5" hidden="0" customWidth="1"/>
    <x:col min="4" max="4" width="16.25" hidden="0" customWidth="1"/>
    <x:col min="5" max="5" width="16.25" hidden="0" customWidth="1"/>
    <x:col min="6" max="6" width="16.25" hidden="0" customWidth="1"/>
    <x:col min="7" max="7" width="16.25" hidden="0" customWidth="1"/>
    <x:col min="8" max="8" width="16.25" hidden="0" customWidth="1"/>
    <x:col min="9" max="9" width="16.25" hidden="0" customWidth="1"/>
    <x:col min="10" max="10" width="16.25" hidden="0" customWidth="1"/>
  </x:cols>
  <x:sheetData>
    <x:row r="1">
      <x:c r="A1" s="4" t="str">
        <x:v>Dashboard brygad</x:v>
      </x:c>
      <x:c r="B1" s="4"/>
      <x:c r="C1" s="4"/>
      <x:c r="D1" s="4"/>
      <x:c r="E1" s="4"/>
      <x:c r="F1" s="4"/>
      <x:c r="G1" s="4"/>
      <x:c r="H1" s="4"/>
      <x:c r="I1" s="4"/>
      <x:c r="J1" s="4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6" t="str">
        <x:v>Raport gotowy do podpiecia pod Google Sheets z analityki.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8" t="str">
        <x:v>Najwazniejsze KPI</x:v>
      </x:c>
      <x:c r="B4" s="8"/>
      <x:c r="C4" s="8"/>
      <x:c r="D4" s="8"/>
      <x:c r="E4" s="8"/>
      <x:c r="F4" s="8"/>
      <x:c r="G4" s="8"/>
      <x:c r="H4" s="8"/>
      <x:c r="I4" s="8"/>
      <x:c r="J4" s="8"/>
    </x:row>
    <x:row r="5">
      <x:c r="A5" s="65" t="str">
        <x:v>Zadania</x:v>
      </x:c>
      <x:c r="B5" s="77" t="n">
        <x:f>SUM('KPI brygad'!B5:B7)</x:f>
        <x:v>557</x:v>
      </x:c>
      <x:c r="C5" s="77" t="str">
        <x:v>Zakonczone</x:v>
      </x:c>
      <x:c r="D5" s="77" t="n">
        <x:f>SUM('KPI brygad'!C5:C7)</x:f>
        <x:v>529</x:v>
      </x:c>
      <x:c r="E5" s="71" t="str">
        <x:v>Completion %</x:v>
      </x:c>
      <x:c r="F5" s="78" t="n">
        <x:f>IFERROR(D5/B5,0)</x:f>
        <x:v>0.9497307001795332</x:v>
      </x:c>
      <x:c r="G5" s="78" t="str">
        <x:v>Delay %</x:v>
      </x:c>
      <x:c r="H5" s="78" t="n">
        <x:f>IFERROR(SUM('KPI brygad'!D5:D7)/B5,0)</x:f>
        <x:v>0.05026929982046679</x:v>
      </x:c>
      <x:c r="I5" s="71" t="str">
        <x:v>Marza</x:v>
      </x:c>
      <x:c r="J5" s="79" t="n">
        <x:f>SUM('KPI brygad'!J5:J7)</x:f>
        <x:v>122210</x:v>
      </x:c>
    </x:row>
    <x:row r="6">
      <x:c r="A6" s="24" t="str"/>
      <x:c r="B6" s="73" t="str"/>
      <x:c r="C6" s="73" t="str"/>
      <x:c r="D6" s="73" t="str"/>
      <x:c r="E6" s="73" t="str"/>
      <x:c r="F6" s="73" t="str"/>
      <x:c r="G6" s="73" t="str"/>
      <x:c r="H6" s="73" t="str"/>
      <x:c r="I6" s="73" t="str"/>
      <x:c r="J6" s="74" t="str"/>
    </x:row>
    <x:row r="7">
      <x:c r="A7" s="68" t="str">
        <x:v>Najlepsza brygada</x:v>
      </x:c>
      <x:c r="B7" s="75" t="str">
        <x:f>INDEX('KPI brygad'!A5:A7,MATCH(MAX('KPI brygad'!H5:H7),'KPI brygad'!H5:H7,0))</x:f>
        <x:v>Brygada C</x:v>
      </x:c>
      <x:c r="C7" s="75" t="str">
        <x:v>Najwiecej opoznien</x:v>
      </x:c>
      <x:c r="D7" s="75" t="str">
        <x:f>INDEX('KPI brygad'!A5:A7,MATCH(MAX('KPI brygad'!F5:F7),'KPI brygad'!F5:F7,0))</x:f>
        <x:v>Brygada B</x:v>
      </x:c>
      <x:c r="E7" s="75" t="str">
        <x:v>Roboczogodziny</x:v>
      </x:c>
      <x:c r="F7" s="80" t="n">
        <x:f>SUM('KPI brygad'!G5:G7)</x:f>
        <x:v>3936</x:v>
      </x:c>
      <x:c r="G7" s="75" t="str">
        <x:v>Koszt / zadanie</x:v>
      </x:c>
      <x:c r="H7" s="81" t="n">
        <x:f>IFERROR(SUM('Dane scalone'!I5:I104)/SUM('Dane scalone'!E5:E104),0)</x:f>
        <x:v>429.245960502693</x:v>
      </x:c>
      <x:c r="I7" s="75" t="str">
        <x:v>Status</x:v>
      </x:c>
      <x:c r="J7" s="76" t="str">
        <x:f>IF(COUNTIF(Alerty!D5:D8,"Sprawdz")&gt;0,"Sprawdz","OK")</x:f>
        <x:v>OK</x:v>
      </x:c>
    </x:row>
    <x:row r="10">
      <x:c r="A10" s="8" t="str">
        <x:v>Ranking brygad</x:v>
      </x:c>
      <x:c r="B10" s="8"/>
      <x:c r="C10" s="8"/>
      <x:c r="D10" s="8"/>
      <x:c r="E10" s="8"/>
    </x:row>
    <x:row r="11">
      <x:c r="A11" s="13" t="str">
        <x:v>Brygada</x:v>
      </x:c>
      <x:c r="B11" s="13" t="str">
        <x:v>Zadania / h</x:v>
      </x:c>
      <x:c r="C11" s="13" t="str">
        <x:v>Completion %</x:v>
      </x:c>
      <x:c r="D11" s="13" t="str">
        <x:v>Delay %</x:v>
      </x:c>
      <x:c r="E11" s="13" t="str">
        <x:v>Marza</x:v>
      </x:c>
    </x:row>
    <x:row r="12">
      <x:c r="A12" s="47" t="str">
        <x:f>'KPI brygad'!A5</x:f>
        <x:v>Brygada A</x:v>
      </x:c>
      <x:c r="B12" s="56" t="n">
        <x:f>'KPI brygad'!H5</x:f>
        <x:v>0.13559322033898305</x:v>
      </x:c>
      <x:c r="C12" s="54" t="n">
        <x:f>'KPI brygad'!E5</x:f>
        <x:v>0.9617486338797814</x:v>
      </x:c>
      <x:c r="D12" s="54" t="n">
        <x:f>'KPI brygad'!F5</x:f>
        <x:v>0.03825136612021858</x:v>
      </x:c>
      <x:c r="E12" s="60" t="n">
        <x:f>'KPI brygad'!J5</x:f>
        <x:v>40820</x:v>
      </x:c>
    </x:row>
    <x:row r="13">
      <x:c r="A13" s="24" t="str">
        <x:f>'KPI brygad'!A6</x:f>
        <x:v>Brygada B</x:v>
      </x:c>
      <x:c r="B13" s="57" t="n">
        <x:f>'KPI brygad'!H6</x:f>
        <x:v>0.12136752136752137</x:v>
      </x:c>
      <x:c r="C13" s="55" t="n">
        <x:f>'KPI brygad'!E6</x:f>
        <x:v>0.922077922077922</x:v>
      </x:c>
      <x:c r="D13" s="55" t="n">
        <x:f>'KPI brygad'!F6</x:f>
        <x:v>0.07792207792207792</x:v>
      </x:c>
      <x:c r="E13" s="62" t="n">
        <x:f>'KPI brygad'!J6</x:f>
        <x:v>29000</x:v>
      </x:c>
    </x:row>
    <x:row r="14">
      <x:c r="A14" s="25" t="str">
        <x:f>'KPI brygad'!A7</x:f>
        <x:v>Brygada C</x:v>
      </x:c>
      <x:c r="B14" s="58" t="n">
        <x:f>'KPI brygad'!H7</x:f>
        <x:v>0.14373297002724797</x:v>
      </x:c>
      <x:c r="C14" s="46" t="n">
        <x:f>'KPI brygad'!E7</x:f>
        <x:v>0.9590909090909091</x:v>
      </x:c>
      <x:c r="D14" s="46" t="n">
        <x:f>'KPI brygad'!F7</x:f>
        <x:v>0.04090909090909091</x:v>
      </x:c>
      <x:c r="E14" s="64" t="n">
        <x:f>'KPI brygad'!J7</x:f>
        <x:v>52390</x:v>
      </x:c>
    </x:row>
    <x:row r="18">
      <x:c r="A18" s="8" t="str">
        <x:v>Trend tygodniowy</x:v>
      </x:c>
      <x:c r="B18" s="8"/>
      <x:c r="C18" s="8"/>
      <x:c r="D18" s="8"/>
      <x:c r="E18" s="8"/>
    </x:row>
    <x:row r="19">
      <x:c r="A19" s="13" t="str">
        <x:f>'Tygodnie'!A4</x:f>
        <x:v>Tydzien</x:v>
      </x:c>
      <x:c r="B19" s="13" t="str">
        <x:f>'Tygodnie'!B4</x:f>
        <x:v>Zadania</x:v>
      </x:c>
      <x:c r="C19" s="13" t="str">
        <x:f>'Tygodnie'!D4</x:f>
        <x:v>Opoznione</x:v>
      </x:c>
      <x:c r="D19" s="13" t="str">
        <x:f>'Tygodnie'!G4</x:f>
        <x:v>Marza</x:v>
      </x:c>
    </x:row>
    <x:row r="20">
      <x:c r="A20" s="48" t="n">
        <x:f>'Tygodnie'!A5</x:f>
        <x:v>46143</x:v>
      </x:c>
      <x:c r="B20" s="51" t="n">
        <x:f>'Tygodnie'!B5</x:f>
        <x:v>128</x:v>
      </x:c>
      <x:c r="C20" s="51" t="n">
        <x:f>'Tygodnie'!D5</x:f>
        <x:v>9</x:v>
      </x:c>
      <x:c r="D20" s="60" t="n">
        <x:f>'Tygodnie'!G5</x:f>
        <x:v>27800</x:v>
      </x:c>
    </x:row>
    <x:row r="21">
      <x:c r="A21" s="49" t="n">
        <x:f>'Tygodnie'!A6</x:f>
        <x:v>46150</x:v>
      </x:c>
      <x:c r="B21" s="52" t="n">
        <x:f>'Tygodnie'!B6</x:f>
        <x:v>138</x:v>
      </x:c>
      <x:c r="C21" s="52" t="n">
        <x:f>'Tygodnie'!D6</x:f>
        <x:v>8</x:v>
      </x:c>
      <x:c r="D21" s="62" t="n">
        <x:f>'Tygodnie'!G6</x:f>
        <x:v>29450</x:v>
      </x:c>
    </x:row>
    <x:row r="22">
      <x:c r="A22" s="49" t="n">
        <x:f>'Tygodnie'!A7</x:f>
        <x:v>46157</x:v>
      </x:c>
      <x:c r="B22" s="52" t="n">
        <x:f>'Tygodnie'!B7</x:f>
        <x:v>143</x:v>
      </x:c>
      <x:c r="C22" s="52" t="n">
        <x:f>'Tygodnie'!D7</x:f>
        <x:v>7</x:v>
      </x:c>
      <x:c r="D22" s="62" t="n">
        <x:f>'Tygodnie'!G7</x:f>
        <x:v>31060</x:v>
      </x:c>
    </x:row>
    <x:row r="23">
      <x:c r="A23" s="49" t="n">
        <x:f>'Tygodnie'!A8</x:f>
        <x:v>46164</x:v>
      </x:c>
      <x:c r="B23" s="52" t="n">
        <x:f>'Tygodnie'!B8</x:f>
        <x:v>148</x:v>
      </x:c>
      <x:c r="C23" s="52" t="n">
        <x:f>'Tygodnie'!D8</x:f>
        <x:v>4</x:v>
      </x:c>
      <x:c r="D23" s="62" t="n">
        <x:f>'Tygodnie'!G8</x:f>
        <x:v>33900</x:v>
      </x:c>
    </x:row>
    <x:row r="24">
      <x:c r="A24" s="50" t="n">
        <x:f>'Tygodnie'!A9</x:f>
        <x:v>46171</x:v>
      </x:c>
      <x:c r="B24" s="53" t="n">
        <x:f>'Tygodnie'!B9</x:f>
        <x:v>0</x:v>
      </x:c>
      <x:c r="C24" s="53" t="n">
        <x:f>'Tygodnie'!D9</x:f>
        <x:v>0</x:v>
      </x:c>
      <x:c r="D24" s="64" t="n">
        <x:f>'Tygodnie'!G9</x:f>
        <x:v>0</x:v>
      </x:c>
    </x:row>
  </x:sheetData>
  <x:mergeCells>
    <x:mergeCell ref="A1:J1"/>
    <x:mergeCell ref="A2:J2"/>
    <x:mergeCell ref="A4:J4"/>
    <x:mergeCell ref="A10:E10"/>
    <x:mergeCell ref="A18:E18"/>
  </x:mergeCells>
  <x:conditionalFormatting sqref="J7:J7">
    <x:cfRule type="containsText" dxfId="3" priority="1" operator="containsText" text="OK"/>
    <x:cfRule type="containsText" dxfId="4" priority="2" operator="containsText" text="Sprawdz"/>
  </x:conditionalFormatting>
  <x:pageMargins left="0.7" right="0.7" top="0.75" bottom="0.75" header="0.3" footer="0.3"/>
  <x:drawing xmlns:r="http://schemas.openxmlformats.org/officeDocument/2006/relationships" r:id="R4477f94df0f94c1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52.5" hidden="0" customWidth="1"/>
    <x:col min="3" max="3" width="20" hidden="0" customWidth="1"/>
    <x:col min="4" max="4" width="27.5" hidden="0" customWidth="1"/>
    <x:col min="5" max="5" width="27.5" hidden="0" customWidth="1"/>
    <x:col min="6" max="6" width="27.5" hidden="0" customWidth="1"/>
  </x:cols>
  <x:sheetData>
    <x:row r="1">
      <x:c r="A1" s="4" t="str">
        <x:v>Ustawienia automatycznego pobierania</x:v>
      </x:c>
      <x:c r="B1" s="4"/>
      <x:c r="C1" s="4"/>
      <x:c r="D1" s="4"/>
      <x:c r="E1" s="4"/>
      <x:c r="F1" s="4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6" t="str">
        <x:v>Wpisz kilka linkow/ID arkuszy z analityki. Raport scala je do jednej tabeli.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8" t="str">
        <x:v>Lista zrodel Google Sheets</x:v>
      </x:c>
      <x:c r="B4" s="8"/>
      <x:c r="C4" s="8"/>
      <x:c r="D4" s="8"/>
      <x:c r="E4" s="8"/>
      <x:c r="F4" s="8"/>
    </x:row>
    <x:row r="5">
      <x:c r="A5" s="13" t="str">
        <x:v>Aktywne</x:v>
      </x:c>
      <x:c r="B5" s="13" t="str">
        <x:v>Nazwa zrodla</x:v>
      </x:c>
      <x:c r="C5" s="13" t="str">
        <x:v>Spreadsheet URL/ID</x:v>
      </x:c>
      <x:c r="D5" s="13" t="str">
        <x:v>Zakres</x:v>
      </x:c>
      <x:c r="E5" s="13" t="str">
        <x:v>Naglowek?</x:v>
      </x:c>
      <x:c r="F5" s="13" t="str">
        <x:v>Opis</x:v>
      </x:c>
    </x:row>
    <x:row r="6">
      <x:c r="A6" s="40" t="b">
        <x:v>1</x:v>
      </x:c>
      <x:c r="B6" s="41" t="str">
        <x:v>Tabela 1</x:v>
      </x:c>
      <x:c r="C6" s="41" t="str"/>
      <x:c r="D6" s="41" t="str">
        <x:v>Dane!A:K</x:v>
      </x:c>
      <x:c r="E6" s="42" t="b">
        <x:v>1</x:v>
      </x:c>
      <x:c r="F6" s="19" t="str">
        <x:v>Pierwsza tabela z naglowkami</x:v>
      </x:c>
    </x:row>
    <x:row r="7">
      <x:c r="A7" s="43" t="b">
        <x:v>0</x:v>
      </x:c>
      <x:c r="B7" s="44" t="str">
        <x:v>Tabela 2</x:v>
      </x:c>
      <x:c r="C7" s="44" t="str"/>
      <x:c r="D7" s="44" t="str">
        <x:v>Dane!A:K</x:v>
      </x:c>
      <x:c r="E7" s="45" t="b">
        <x:v>1</x:v>
      </x:c>
      <x:c r="F7" s="23" t="str">
        <x:v>Kolejna tabela z naglowkami</x:v>
      </x:c>
    </x:row>
    <x:row r="8">
      <x:c r="A8" s="43" t="b">
        <x:v>0</x:v>
      </x:c>
      <x:c r="B8" s="44" t="str">
        <x:v>Tabela 3</x:v>
      </x:c>
      <x:c r="C8" s="44" t="str"/>
      <x:c r="D8" s="44" t="str">
        <x:v>Dane!A:K</x:v>
      </x:c>
      <x:c r="E8" s="45" t="b">
        <x:v>1</x:v>
      </x:c>
      <x:c r="F8" s="23" t="str">
        <x:v>Kolejna tabela z naglowkami</x:v>
      </x:c>
    </x:row>
    <x:row r="9">
      <x:c r="A9" s="43" t="b">
        <x:v>0</x:v>
      </x:c>
      <x:c r="B9" s="44" t="str">
        <x:v>Tabela 4</x:v>
      </x:c>
      <x:c r="C9" s="44" t="str"/>
      <x:c r="D9" s="44" t="str">
        <x:v>Dane!A:K</x:v>
      </x:c>
      <x:c r="E9" s="45" t="b">
        <x:v>1</x:v>
      </x:c>
      <x:c r="F9" s="23" t="str">
        <x:v>Kolejna tabela z naglowkami</x:v>
      </x:c>
    </x:row>
    <x:row r="10">
      <x:c r="A10" s="43" t="b">
        <x:v>0</x:v>
      </x:c>
      <x:c r="B10" s="44" t="str">
        <x:v>Tabela 5</x:v>
      </x:c>
      <x:c r="C10" s="44" t="str"/>
      <x:c r="D10" s="44" t="str">
        <x:v>Dane!A:K</x:v>
      </x:c>
      <x:c r="E10" s="45" t="b">
        <x:v>1</x:v>
      </x:c>
      <x:c r="F10" s="23" t="str">
        <x:v>Kolejna tabela z naglowkami</x:v>
      </x:c>
    </x:row>
    <x:row r="11">
      <x:c r="A11" s="43" t="b">
        <x:v>0</x:v>
      </x:c>
      <x:c r="B11" s="44" t="str">
        <x:v>Tabela 6</x:v>
      </x:c>
      <x:c r="C11" s="44" t="str"/>
      <x:c r="D11" s="44" t="str">
        <x:v>Dane!A:K</x:v>
      </x:c>
      <x:c r="E11" s="45" t="b">
        <x:v>1</x:v>
      </x:c>
      <x:c r="F11" s="23" t="str">
        <x:v>Kolejna tabela z naglowkami</x:v>
      </x:c>
    </x:row>
    <x:row r="12">
      <x:c r="A12" s="43" t="b">
        <x:v>0</x:v>
      </x:c>
      <x:c r="B12" s="44" t="str">
        <x:v>Tabela 7</x:v>
      </x:c>
      <x:c r="C12" s="44" t="str"/>
      <x:c r="D12" s="44" t="str">
        <x:v>Dane!A:K</x:v>
      </x:c>
      <x:c r="E12" s="45" t="b">
        <x:v>1</x:v>
      </x:c>
      <x:c r="F12" s="23" t="str">
        <x:v>Kolejna tabela z naglowkami</x:v>
      </x:c>
    </x:row>
    <x:row r="13">
      <x:c r="A13" s="43" t="b">
        <x:v>0</x:v>
      </x:c>
      <x:c r="B13" s="44" t="str">
        <x:v>Tabela 8</x:v>
      </x:c>
      <x:c r="C13" s="44" t="str"/>
      <x:c r="D13" s="44" t="str">
        <x:v>Dane!A:K</x:v>
      </x:c>
      <x:c r="E13" s="45" t="b">
        <x:v>1</x:v>
      </x:c>
      <x:c r="F13" s="23" t="str">
        <x:v>Kolejna tabela z naglowkami</x:v>
      </x:c>
    </x:row>
    <x:row r="14">
      <x:c r="A14" s="43" t="b">
        <x:v>0</x:v>
      </x:c>
      <x:c r="B14" s="44" t="str">
        <x:v>Tabela 9</x:v>
      </x:c>
      <x:c r="C14" s="44" t="str"/>
      <x:c r="D14" s="44" t="str">
        <x:v>Dane!A:K</x:v>
      </x:c>
      <x:c r="E14" s="45" t="b">
        <x:v>1</x:v>
      </x:c>
      <x:c r="F14" s="23" t="str">
        <x:v>Kolejna tabela z naglowkami</x:v>
      </x:c>
    </x:row>
    <x:row r="15">
      <x:c r="A15" s="43" t="b">
        <x:v>0</x:v>
      </x:c>
      <x:c r="B15" s="44" t="str">
        <x:v>Tabela 10</x:v>
      </x:c>
      <x:c r="C15" s="44" t="str"/>
      <x:c r="D15" s="44" t="str">
        <x:v>Dane!A:K</x:v>
      </x:c>
      <x:c r="E15" s="45" t="b">
        <x:v>1</x:v>
      </x:c>
      <x:c r="F15" s="23" t="str">
        <x:v>Kolejna tabela z naglowkami</x:v>
      </x:c>
    </x:row>
    <x:row r="16">
      <x:c r="A16" s="24" t="str"/>
      <x:c r="B16" s="21" t="str"/>
      <x:c r="C16" s="21" t="str"/>
      <x:c r="D16" s="21" t="str"/>
      <x:c r="E16" s="21" t="str"/>
      <x:c r="F16" s="23" t="str"/>
    </x:row>
    <x:row r="17">
      <x:c r="A17" s="25" t="str">
        <x:v>Progi</x:v>
      </x:c>
      <x:c r="B17" s="26" t="str">
        <x:v>Prog opoznienia</x:v>
      </x:c>
      <x:c r="C17" s="46" t="n">
        <x:v>0.1</x:v>
      </x:c>
      <x:c r="D17" s="26" t="str">
        <x:v>Prog wykorzystania</x:v>
      </x:c>
      <x:c r="E17" s="46" t="n">
        <x:v>0.85</x:v>
      </x:c>
      <x:c r="F17" s="27" t="str"/>
    </x:row>
    <x:row r="20">
      <x:c r="A20" s="8" t="str">
        <x:v>Formula scalania do Google Sheets</x:v>
      </x:c>
      <x:c r="B20" s="8"/>
      <x:c r="C20" s="8"/>
      <x:c r="D20" s="8"/>
      <x:c r="E20" s="8"/>
      <x:c r="F20" s="8"/>
    </x:row>
    <x:row r="21">
      <x:c r="A21" s="13" t="str">
        <x:v>Komorka docelowa</x:v>
      </x:c>
      <x:c r="B21" s="13" t="str">
        <x:v>Formula</x:v>
      </x:c>
      <x:c r="C21" s="13" t="str">
        <x:v>Jak uzyc</x:v>
      </x:c>
      <x:c r="D21" t="str"/>
      <x:c r="E21" t="str"/>
      <x:c r="F21" t="str"/>
    </x:row>
    <x:row r="22">
      <x:c r="A22" s="47" t="str">
        <x:v>Dane scalone!A1</x:v>
      </x:c>
      <x:c r="B22" s="17" t="str">
        <x:v>=LET(src,FILTER({Ustawienia!C6:C15,Ustawienia!D6:D15},Ustawienia!A6:A15=TRUE,Ustawienia!C6:C15&lt;&gt;""),VSTACK(INDEX(IMPORTRANGE(INDEX(src,1,1),INDEX(src,1,2)),1,),DROP(REDUCE("",SEQUENCE(ROWS(src)),LAMBDA(acc,i,VSTACK(acc,DROP(IMPORTRANGE(INDEX(src,i,1),INDEX(src,i,2)),1)))),1)))</x:v>
      </x:c>
      <x:c r="C22" s="19" t="str">
        <x:v>Po imporcie do Google Sheets wstaw te formule w A1 zakladki Dane scalone.</x:v>
      </x:c>
      <x:c r="D22" t="str"/>
      <x:c r="E22" t="str"/>
      <x:c r="F22" t="str"/>
    </x:row>
    <x:row r="23">
      <x:c r="A23" s="24" t="str"/>
      <x:c r="B23" s="21" t="str"/>
      <x:c r="C23" s="23" t="str">
        <x:v>Pierwsze uzycie kazdego IMPORTRANGE wymaga klikniecia Allow access w Google Sheets.</x:v>
      </x:c>
      <x:c r="D23" t="str"/>
      <x:c r="E23" t="str"/>
      <x:c r="F23" t="str"/>
    </x:row>
    <x:row r="24">
      <x:c r="A24" s="24" t="str"/>
      <x:c r="B24" s="21" t="str"/>
      <x:c r="C24" s="23" t="str">
        <x:v>Wszystkie tabele musza miec te same kolumny w tej samej kolejnosci.</x:v>
      </x:c>
      <x:c r="D24" t="str"/>
      <x:c r="E24" t="str"/>
      <x:c r="F24" t="str"/>
    </x:row>
    <x:row r="25">
      <x:c r="A25" s="24" t="str"/>
      <x:c r="B25" s="21" t="str"/>
      <x:c r="C25" s="23" t="str">
        <x:v>Wymagane kolumny: Data, Brygada, Kierownik, Region, Zadania, Zakonczone, Opoznione, Roboczogodziny, Koszt, Przychod, Uwagi.</x:v>
      </x:c>
      <x:c r="D25" t="str"/>
      <x:c r="E25" t="str"/>
      <x:c r="F25" t="str"/>
    </x:row>
    <x:row r="26">
      <x:c r="A26" s="25" t="str"/>
      <x:c r="B26" s="26" t="str"/>
      <x:c r="C26" s="27" t="str"/>
      <x:c r="D26" t="str"/>
      <x:c r="E26" t="str"/>
      <x:c r="F26" t="str"/>
    </x:row>
  </x:sheetData>
  <x:mergeCells>
    <x:mergeCell ref="A1:F1"/>
    <x:mergeCell ref="A2:J2"/>
    <x:mergeCell ref="A4:F4"/>
    <x:mergeCell ref="A20:F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6.25" hidden="0" customWidth="1"/>
    <x:col min="3" max="3" width="17.5" hidden="0" customWidth="1"/>
    <x:col min="4" max="4" width="13.75" hidden="0" customWidth="1"/>
    <x:col min="5" max="5" width="11.25" hidden="0" customWidth="1"/>
    <x:col min="6" max="6" width="13.75" hidden="0" customWidth="1"/>
    <x:col min="7" max="7" width="12.5" hidden="0" customWidth="1"/>
    <x:col min="8" max="8" width="16.25" hidden="0" customWidth="1"/>
    <x:col min="9" max="9" width="13.75" hidden="0" customWidth="1"/>
    <x:col min="10" max="10" width="15" hidden="0" customWidth="1"/>
    <x:col min="11" max="11" width="32.5" hidden="0" customWidth="1"/>
  </x:cols>
  <x:sheetData>
    <x:row r="1">
      <x:c r="A1" s="4" t="str">
        <x:v>Dane scalone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6" t="str">
        <x:v>Tu ma trafic jedna wspolna tabela ze wszystkich zrodel. Przykladowe dane sa tylko do testu dashboardu.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13" t="str">
        <x:v>Data</x:v>
      </x:c>
      <x:c r="B4" s="13" t="str">
        <x:v>Brygada</x:v>
      </x:c>
      <x:c r="C4" s="13" t="str">
        <x:v>Kierownik</x:v>
      </x:c>
      <x:c r="D4" s="13" t="str">
        <x:v>Region</x:v>
      </x:c>
      <x:c r="E4" s="13" t="str">
        <x:v>Zadania</x:v>
      </x:c>
      <x:c r="F4" s="13" t="str">
        <x:v>Zakonczone</x:v>
      </x:c>
      <x:c r="G4" s="13" t="str">
        <x:v>Opoznione</x:v>
      </x:c>
      <x:c r="H4" s="13" t="str">
        <x:v>Roboczogodziny</x:v>
      </x:c>
      <x:c r="I4" s="13" t="str">
        <x:v>Koszt</x:v>
      </x:c>
      <x:c r="J4" s="13" t="str">
        <x:v>Przychod</x:v>
      </x:c>
      <x:c r="K4" s="13" t="str">
        <x:v>Uwagi</x:v>
      </x:c>
    </x:row>
    <x:row r="5">
      <x:c r="A5" s="48" t="n">
        <x:v>46143</x:v>
      </x:c>
      <x:c r="B5" s="17" t="str">
        <x:v>Brygada A</x:v>
      </x:c>
      <x:c r="C5" s="17" t="str">
        <x:v>Kowalski</x:v>
      </x:c>
      <x:c r="D5" s="17" t="str">
        <x:v>Polnoc</x:v>
      </x:c>
      <x:c r="E5" s="51" t="n">
        <x:v>42</x:v>
      </x:c>
      <x:c r="F5" s="51" t="n">
        <x:v>39</x:v>
      </x:c>
      <x:c r="G5" s="51" t="n">
        <x:v>3</x:v>
      </x:c>
      <x:c r="H5" s="51" t="n">
        <x:v>310</x:v>
      </x:c>
      <x:c r="I5" s="51" t="n">
        <x:v>18500</x:v>
      </x:c>
      <x:c r="J5" s="51" t="n">
        <x:v>27600</x:v>
      </x:c>
      <x:c r="K5" s="19" t="str"/>
    </x:row>
    <x:row r="6">
      <x:c r="A6" s="49" t="n">
        <x:v>46143</x:v>
      </x:c>
      <x:c r="B6" s="21" t="str">
        <x:v>Brygada B</x:v>
      </x:c>
      <x:c r="C6" s="21" t="str">
        <x:v>Nowak</x:v>
      </x:c>
      <x:c r="D6" s="21" t="str">
        <x:v>Poludnie</x:v>
      </x:c>
      <x:c r="E6" s="52" t="n">
        <x:v>35</x:v>
      </x:c>
      <x:c r="F6" s="52" t="n">
        <x:v>33</x:v>
      </x:c>
      <x:c r="G6" s="52" t="n">
        <x:v>2</x:v>
      </x:c>
      <x:c r="H6" s="52" t="n">
        <x:v>265</x:v>
      </x:c>
      <x:c r="I6" s="52" t="n">
        <x:v>15900</x:v>
      </x:c>
      <x:c r="J6" s="52" t="n">
        <x:v>22900</x:v>
      </x:c>
      <x:c r="K6" s="23" t="str"/>
    </x:row>
    <x:row r="7">
      <x:c r="A7" s="49" t="n">
        <x:v>46143</x:v>
      </x:c>
      <x:c r="B7" s="21" t="str">
        <x:v>Brygada C</x:v>
      </x:c>
      <x:c r="C7" s="21" t="str">
        <x:v>Zielinski</x:v>
      </x:c>
      <x:c r="D7" s="21" t="str">
        <x:v>Centrum</x:v>
      </x:c>
      <x:c r="E7" s="52" t="n">
        <x:v>51</x:v>
      </x:c>
      <x:c r="F7" s="52" t="n">
        <x:v>47</x:v>
      </x:c>
      <x:c r="G7" s="52" t="n">
        <x:v>4</x:v>
      </x:c>
      <x:c r="H7" s="52" t="n">
        <x:v>355</x:v>
      </x:c>
      <x:c r="I7" s="52" t="n">
        <x:v>22100</x:v>
      </x:c>
      <x:c r="J7" s="52" t="n">
        <x:v>33800</x:v>
      </x:c>
      <x:c r="K7" s="23" t="str"/>
    </x:row>
    <x:row r="8">
      <x:c r="A8" s="49" t="n">
        <x:v>46150</x:v>
      </x:c>
      <x:c r="B8" s="21" t="str">
        <x:v>Brygada A</x:v>
      </x:c>
      <x:c r="C8" s="21" t="str">
        <x:v>Kowalski</x:v>
      </x:c>
      <x:c r="D8" s="21" t="str">
        <x:v>Polnoc</x:v>
      </x:c>
      <x:c r="E8" s="52" t="n">
        <x:v>45</x:v>
      </x:c>
      <x:c r="F8" s="52" t="n">
        <x:v>43</x:v>
      </x:c>
      <x:c r="G8" s="52" t="n">
        <x:v>2</x:v>
      </x:c>
      <x:c r="H8" s="52" t="n">
        <x:v>322</x:v>
      </x:c>
      <x:c r="I8" s="52" t="n">
        <x:v>19320</x:v>
      </x:c>
      <x:c r="J8" s="52" t="n">
        <x:v>29100</x:v>
      </x:c>
      <x:c r="K8" s="23" t="str"/>
    </x:row>
    <x:row r="9">
      <x:c r="A9" s="49" t="n">
        <x:v>46150</x:v>
      </x:c>
      <x:c r="B9" s="21" t="str">
        <x:v>Brygada B</x:v>
      </x:c>
      <x:c r="C9" s="21" t="str">
        <x:v>Nowak</x:v>
      </x:c>
      <x:c r="D9" s="21" t="str">
        <x:v>Poludnie</x:v>
      </x:c>
      <x:c r="E9" s="52" t="n">
        <x:v>38</x:v>
      </x:c>
      <x:c r="F9" s="52" t="n">
        <x:v>34</x:v>
      </x:c>
      <x:c r="G9" s="52" t="n">
        <x:v>4</x:v>
      </x:c>
      <x:c r="H9" s="52" t="n">
        <x:v>290</x:v>
      </x:c>
      <x:c r="I9" s="52" t="n">
        <x:v>17400</x:v>
      </x:c>
      <x:c r="J9" s="52" t="n">
        <x:v>24100</x:v>
      </x:c>
      <x:c r="K9" s="23" t="str">
        <x:v>wiecej opoznien</x:v>
      </x:c>
    </x:row>
    <x:row r="10">
      <x:c r="A10" s="49" t="n">
        <x:v>46150</x:v>
      </x:c>
      <x:c r="B10" s="21" t="str">
        <x:v>Brygada C</x:v>
      </x:c>
      <x:c r="C10" s="21" t="str">
        <x:v>Zielinski</x:v>
      </x:c>
      <x:c r="D10" s="21" t="str">
        <x:v>Centrum</x:v>
      </x:c>
      <x:c r="E10" s="52" t="n">
        <x:v>55</x:v>
      </x:c>
      <x:c r="F10" s="52" t="n">
        <x:v>53</x:v>
      </x:c>
      <x:c r="G10" s="52" t="n">
        <x:v>2</x:v>
      </x:c>
      <x:c r="H10" s="52" t="n">
        <x:v>365</x:v>
      </x:c>
      <x:c r="I10" s="52" t="n">
        <x:v>22630</x:v>
      </x:c>
      <x:c r="J10" s="52" t="n">
        <x:v>35600</x:v>
      </x:c>
      <x:c r="K10" s="23" t="str"/>
    </x:row>
    <x:row r="11">
      <x:c r="A11" s="49" t="n">
        <x:v>46157</x:v>
      </x:c>
      <x:c r="B11" s="21" t="str">
        <x:v>Brygada A</x:v>
      </x:c>
      <x:c r="C11" s="21" t="str">
        <x:v>Kowalski</x:v>
      </x:c>
      <x:c r="D11" s="21" t="str">
        <x:v>Polnoc</x:v>
      </x:c>
      <x:c r="E11" s="52" t="n">
        <x:v>47</x:v>
      </x:c>
      <x:c r="F11" s="52" t="n">
        <x:v>46</x:v>
      </x:c>
      <x:c r="G11" s="52" t="n">
        <x:v>1</x:v>
      </x:c>
      <x:c r="H11" s="52" t="n">
        <x:v>330</x:v>
      </x:c>
      <x:c r="I11" s="52" t="n">
        <x:v>19800</x:v>
      </x:c>
      <x:c r="J11" s="52" t="n">
        <x:v>30400</x:v>
      </x:c>
      <x:c r="K11" s="23" t="str"/>
    </x:row>
    <x:row r="12">
      <x:c r="A12" s="49" t="n">
        <x:v>46157</x:v>
      </x:c>
      <x:c r="B12" s="21" t="str">
        <x:v>Brygada B</x:v>
      </x:c>
      <x:c r="C12" s="21" t="str">
        <x:v>Nowak</x:v>
      </x:c>
      <x:c r="D12" s="21" t="str">
        <x:v>Poludnie</x:v>
      </x:c>
      <x:c r="E12" s="52" t="n">
        <x:v>40</x:v>
      </x:c>
      <x:c r="F12" s="52" t="n">
        <x:v>36</x:v>
      </x:c>
      <x:c r="G12" s="52" t="n">
        <x:v>4</x:v>
      </x:c>
      <x:c r="H12" s="52" t="n">
        <x:v>305</x:v>
      </x:c>
      <x:c r="I12" s="52" t="n">
        <x:v>18300</x:v>
      </x:c>
      <x:c r="J12" s="52" t="n">
        <x:v>25500</x:v>
      </x:c>
      <x:c r="K12" s="23" t="str"/>
    </x:row>
    <x:row r="13">
      <x:c r="A13" s="49" t="n">
        <x:v>46157</x:v>
      </x:c>
      <x:c r="B13" s="21" t="str">
        <x:v>Brygada C</x:v>
      </x:c>
      <x:c r="C13" s="21" t="str">
        <x:v>Zielinski</x:v>
      </x:c>
      <x:c r="D13" s="21" t="str">
        <x:v>Centrum</x:v>
      </x:c>
      <x:c r="E13" s="52" t="n">
        <x:v>56</x:v>
      </x:c>
      <x:c r="F13" s="52" t="n">
        <x:v>54</x:v>
      </x:c>
      <x:c r="G13" s="52" t="n">
        <x:v>2</x:v>
      </x:c>
      <x:c r="H13" s="52" t="n">
        <x:v>370</x:v>
      </x:c>
      <x:c r="I13" s="52" t="n">
        <x:v>22940</x:v>
      </x:c>
      <x:c r="J13" s="52" t="n">
        <x:v>36200</x:v>
      </x:c>
      <x:c r="K13" s="23" t="str"/>
    </x:row>
    <x:row r="14">
      <x:c r="A14" s="49" t="n">
        <x:v>46164</x:v>
      </x:c>
      <x:c r="B14" s="21" t="str">
        <x:v>Brygada A</x:v>
      </x:c>
      <x:c r="C14" s="21" t="str">
        <x:v>Kowalski</x:v>
      </x:c>
      <x:c r="D14" s="21" t="str">
        <x:v>Polnoc</x:v>
      </x:c>
      <x:c r="E14" s="52" t="n">
        <x:v>49</x:v>
      </x:c>
      <x:c r="F14" s="52" t="n">
        <x:v>48</x:v>
      </x:c>
      <x:c r="G14" s="52" t="n">
        <x:v>1</x:v>
      </x:c>
      <x:c r="H14" s="52" t="n">
        <x:v>336</x:v>
      </x:c>
      <x:c r="I14" s="52" t="n">
        <x:v>20160</x:v>
      </x:c>
      <x:c r="J14" s="52" t="n">
        <x:v>31500</x:v>
      </x:c>
      <x:c r="K14" s="23" t="str"/>
    </x:row>
    <x:row r="15">
      <x:c r="A15" s="49" t="n">
        <x:v>46164</x:v>
      </x:c>
      <x:c r="B15" s="21" t="str">
        <x:v>Brygada B</x:v>
      </x:c>
      <x:c r="C15" s="21" t="str">
        <x:v>Nowak</x:v>
      </x:c>
      <x:c r="D15" s="21" t="str">
        <x:v>Poludnie</x:v>
      </x:c>
      <x:c r="E15" s="52" t="n">
        <x:v>41</x:v>
      </x:c>
      <x:c r="F15" s="52" t="n">
        <x:v>39</x:v>
      </x:c>
      <x:c r="G15" s="52" t="n">
        <x:v>2</x:v>
      </x:c>
      <x:c r="H15" s="52" t="n">
        <x:v>310</x:v>
      </x:c>
      <x:c r="I15" s="52" t="n">
        <x:v>18600</x:v>
      </x:c>
      <x:c r="J15" s="52" t="n">
        <x:v>26700</x:v>
      </x:c>
      <x:c r="K15" s="23" t="str"/>
    </x:row>
    <x:row r="16">
      <x:c r="A16" s="49" t="n">
        <x:v>46164</x:v>
      </x:c>
      <x:c r="B16" s="21" t="str">
        <x:v>Brygada C</x:v>
      </x:c>
      <x:c r="C16" s="21" t="str">
        <x:v>Zielinski</x:v>
      </x:c>
      <x:c r="D16" s="21" t="str">
        <x:v>Centrum</x:v>
      </x:c>
      <x:c r="E16" s="52" t="n">
        <x:v>58</x:v>
      </x:c>
      <x:c r="F16" s="52" t="n">
        <x:v>57</x:v>
      </x:c>
      <x:c r="G16" s="52" t="n">
        <x:v>1</x:v>
      </x:c>
      <x:c r="H16" s="52" t="n">
        <x:v>378</x:v>
      </x:c>
      <x:c r="I16" s="52" t="n">
        <x:v>23440</x:v>
      </x:c>
      <x:c r="J16" s="52" t="n">
        <x:v>37900</x:v>
      </x:c>
      <x:c r="K16" s="23" t="str"/>
    </x:row>
    <x:row r="17">
      <x:c r="A17" s="49"/>
      <x:c r="B17" s="21"/>
      <x:c r="C17" s="21"/>
      <x:c r="D17" s="21"/>
      <x:c r="E17" s="52"/>
      <x:c r="F17" s="52"/>
      <x:c r="G17" s="52"/>
      <x:c r="H17" s="52"/>
      <x:c r="I17" s="52"/>
      <x:c r="J17" s="52"/>
      <x:c r="K17" s="23"/>
    </x:row>
    <x:row r="18">
      <x:c r="A18" s="49"/>
      <x:c r="B18" s="21"/>
      <x:c r="C18" s="21"/>
      <x:c r="D18" s="21"/>
      <x:c r="E18" s="52"/>
      <x:c r="F18" s="52"/>
      <x:c r="G18" s="52"/>
      <x:c r="H18" s="52"/>
      <x:c r="I18" s="52"/>
      <x:c r="J18" s="52"/>
      <x:c r="K18" s="23"/>
    </x:row>
    <x:row r="19">
      <x:c r="A19" s="49"/>
      <x:c r="B19" s="21"/>
      <x:c r="C19" s="21"/>
      <x:c r="D19" s="21"/>
      <x:c r="E19" s="52"/>
      <x:c r="F19" s="52"/>
      <x:c r="G19" s="52"/>
      <x:c r="H19" s="52"/>
      <x:c r="I19" s="52"/>
      <x:c r="J19" s="52"/>
      <x:c r="K19" s="23"/>
    </x:row>
    <x:row r="20">
      <x:c r="A20" s="49"/>
      <x:c r="B20" s="21"/>
      <x:c r="C20" s="21"/>
      <x:c r="D20" s="21"/>
      <x:c r="E20" s="52"/>
      <x:c r="F20" s="52"/>
      <x:c r="G20" s="52"/>
      <x:c r="H20" s="52"/>
      <x:c r="I20" s="52"/>
      <x:c r="J20" s="52"/>
      <x:c r="K20" s="23"/>
    </x:row>
    <x:row r="21">
      <x:c r="A21" s="49"/>
      <x:c r="B21" s="21"/>
      <x:c r="C21" s="21"/>
      <x:c r="D21" s="21"/>
      <x:c r="E21" s="52"/>
      <x:c r="F21" s="52"/>
      <x:c r="G21" s="52"/>
      <x:c r="H21" s="52"/>
      <x:c r="I21" s="52"/>
      <x:c r="J21" s="52"/>
      <x:c r="K21" s="23"/>
    </x:row>
    <x:row r="22">
      <x:c r="A22" s="49"/>
      <x:c r="B22" s="21"/>
      <x:c r="C22" s="21"/>
      <x:c r="D22" s="21"/>
      <x:c r="E22" s="52"/>
      <x:c r="F22" s="52"/>
      <x:c r="G22" s="52"/>
      <x:c r="H22" s="52"/>
      <x:c r="I22" s="52"/>
      <x:c r="J22" s="52"/>
      <x:c r="K22" s="23"/>
    </x:row>
    <x:row r="23">
      <x:c r="A23" s="49"/>
      <x:c r="B23" s="21"/>
      <x:c r="C23" s="21"/>
      <x:c r="D23" s="21"/>
      <x:c r="E23" s="52"/>
      <x:c r="F23" s="52"/>
      <x:c r="G23" s="52"/>
      <x:c r="H23" s="52"/>
      <x:c r="I23" s="52"/>
      <x:c r="J23" s="52"/>
      <x:c r="K23" s="23"/>
    </x:row>
    <x:row r="24">
      <x:c r="A24" s="49"/>
      <x:c r="B24" s="21"/>
      <x:c r="C24" s="21"/>
      <x:c r="D24" s="21"/>
      <x:c r="E24" s="52"/>
      <x:c r="F24" s="52"/>
      <x:c r="G24" s="52"/>
      <x:c r="H24" s="52"/>
      <x:c r="I24" s="52"/>
      <x:c r="J24" s="52"/>
      <x:c r="K24" s="23"/>
    </x:row>
    <x:row r="25">
      <x:c r="A25" s="49"/>
      <x:c r="B25" s="21"/>
      <x:c r="C25" s="21"/>
      <x:c r="D25" s="21"/>
      <x:c r="E25" s="52"/>
      <x:c r="F25" s="52"/>
      <x:c r="G25" s="52"/>
      <x:c r="H25" s="52"/>
      <x:c r="I25" s="52"/>
      <x:c r="J25" s="52"/>
      <x:c r="K25" s="23"/>
    </x:row>
    <x:row r="26">
      <x:c r="A26" s="49"/>
      <x:c r="B26" s="21"/>
      <x:c r="C26" s="21"/>
      <x:c r="D26" s="21"/>
      <x:c r="E26" s="52"/>
      <x:c r="F26" s="52"/>
      <x:c r="G26" s="52"/>
      <x:c r="H26" s="52"/>
      <x:c r="I26" s="52"/>
      <x:c r="J26" s="52"/>
      <x:c r="K26" s="23"/>
    </x:row>
    <x:row r="27">
      <x:c r="A27" s="49"/>
      <x:c r="B27" s="21"/>
      <x:c r="C27" s="21"/>
      <x:c r="D27" s="21"/>
      <x:c r="E27" s="52"/>
      <x:c r="F27" s="52"/>
      <x:c r="G27" s="52"/>
      <x:c r="H27" s="52"/>
      <x:c r="I27" s="52"/>
      <x:c r="J27" s="52"/>
      <x:c r="K27" s="23"/>
    </x:row>
    <x:row r="28">
      <x:c r="A28" s="49"/>
      <x:c r="B28" s="21"/>
      <x:c r="C28" s="21"/>
      <x:c r="D28" s="21"/>
      <x:c r="E28" s="52"/>
      <x:c r="F28" s="52"/>
      <x:c r="G28" s="52"/>
      <x:c r="H28" s="52"/>
      <x:c r="I28" s="52"/>
      <x:c r="J28" s="52"/>
      <x:c r="K28" s="23"/>
    </x:row>
    <x:row r="29">
      <x:c r="A29" s="49"/>
      <x:c r="B29" s="21"/>
      <x:c r="C29" s="21"/>
      <x:c r="D29" s="21"/>
      <x:c r="E29" s="52"/>
      <x:c r="F29" s="52"/>
      <x:c r="G29" s="52"/>
      <x:c r="H29" s="52"/>
      <x:c r="I29" s="52"/>
      <x:c r="J29" s="52"/>
      <x:c r="K29" s="23"/>
    </x:row>
    <x:row r="30">
      <x:c r="A30" s="49"/>
      <x:c r="B30" s="21"/>
      <x:c r="C30" s="21"/>
      <x:c r="D30" s="21"/>
      <x:c r="E30" s="52"/>
      <x:c r="F30" s="52"/>
      <x:c r="G30" s="52"/>
      <x:c r="H30" s="52"/>
      <x:c r="I30" s="52"/>
      <x:c r="J30" s="52"/>
      <x:c r="K30" s="23"/>
    </x:row>
    <x:row r="31">
      <x:c r="A31" s="49"/>
      <x:c r="B31" s="21"/>
      <x:c r="C31" s="21"/>
      <x:c r="D31" s="21"/>
      <x:c r="E31" s="52"/>
      <x:c r="F31" s="52"/>
      <x:c r="G31" s="52"/>
      <x:c r="H31" s="52"/>
      <x:c r="I31" s="52"/>
      <x:c r="J31" s="52"/>
      <x:c r="K31" s="23"/>
    </x:row>
    <x:row r="32">
      <x:c r="A32" s="49"/>
      <x:c r="B32" s="21"/>
      <x:c r="C32" s="21"/>
      <x:c r="D32" s="21"/>
      <x:c r="E32" s="52"/>
      <x:c r="F32" s="52"/>
      <x:c r="G32" s="52"/>
      <x:c r="H32" s="52"/>
      <x:c r="I32" s="52"/>
      <x:c r="J32" s="52"/>
      <x:c r="K32" s="23"/>
    </x:row>
    <x:row r="33">
      <x:c r="A33" s="49"/>
      <x:c r="B33" s="21"/>
      <x:c r="C33" s="21"/>
      <x:c r="D33" s="21"/>
      <x:c r="E33" s="52"/>
      <x:c r="F33" s="52"/>
      <x:c r="G33" s="52"/>
      <x:c r="H33" s="52"/>
      <x:c r="I33" s="52"/>
      <x:c r="J33" s="52"/>
      <x:c r="K33" s="23"/>
    </x:row>
    <x:row r="34">
      <x:c r="A34" s="49"/>
      <x:c r="B34" s="21"/>
      <x:c r="C34" s="21"/>
      <x:c r="D34" s="21"/>
      <x:c r="E34" s="52"/>
      <x:c r="F34" s="52"/>
      <x:c r="G34" s="52"/>
      <x:c r="H34" s="52"/>
      <x:c r="I34" s="52"/>
      <x:c r="J34" s="52"/>
      <x:c r="K34" s="23"/>
    </x:row>
    <x:row r="35">
      <x:c r="A35" s="49"/>
      <x:c r="B35" s="21"/>
      <x:c r="C35" s="21"/>
      <x:c r="D35" s="21"/>
      <x:c r="E35" s="52"/>
      <x:c r="F35" s="52"/>
      <x:c r="G35" s="52"/>
      <x:c r="H35" s="52"/>
      <x:c r="I35" s="52"/>
      <x:c r="J35" s="52"/>
      <x:c r="K35" s="23"/>
    </x:row>
    <x:row r="36">
      <x:c r="A36" s="49"/>
      <x:c r="B36" s="21"/>
      <x:c r="C36" s="21"/>
      <x:c r="D36" s="21"/>
      <x:c r="E36" s="52"/>
      <x:c r="F36" s="52"/>
      <x:c r="G36" s="52"/>
      <x:c r="H36" s="52"/>
      <x:c r="I36" s="52"/>
      <x:c r="J36" s="52"/>
      <x:c r="K36" s="23"/>
    </x:row>
    <x:row r="37">
      <x:c r="A37" s="49"/>
      <x:c r="B37" s="21"/>
      <x:c r="C37" s="21"/>
      <x:c r="D37" s="21"/>
      <x:c r="E37" s="52"/>
      <x:c r="F37" s="52"/>
      <x:c r="G37" s="52"/>
      <x:c r="H37" s="52"/>
      <x:c r="I37" s="52"/>
      <x:c r="J37" s="52"/>
      <x:c r="K37" s="23"/>
    </x:row>
    <x:row r="38">
      <x:c r="A38" s="49"/>
      <x:c r="B38" s="21"/>
      <x:c r="C38" s="21"/>
      <x:c r="D38" s="21"/>
      <x:c r="E38" s="52"/>
      <x:c r="F38" s="52"/>
      <x:c r="G38" s="52"/>
      <x:c r="H38" s="52"/>
      <x:c r="I38" s="52"/>
      <x:c r="J38" s="52"/>
      <x:c r="K38" s="23"/>
    </x:row>
    <x:row r="39">
      <x:c r="A39" s="49"/>
      <x:c r="B39" s="21"/>
      <x:c r="C39" s="21"/>
      <x:c r="D39" s="21"/>
      <x:c r="E39" s="52"/>
      <x:c r="F39" s="52"/>
      <x:c r="G39" s="52"/>
      <x:c r="H39" s="52"/>
      <x:c r="I39" s="52"/>
      <x:c r="J39" s="52"/>
      <x:c r="K39" s="23"/>
    </x:row>
    <x:row r="40">
      <x:c r="A40" s="49"/>
      <x:c r="B40" s="21"/>
      <x:c r="C40" s="21"/>
      <x:c r="D40" s="21"/>
      <x:c r="E40" s="52"/>
      <x:c r="F40" s="52"/>
      <x:c r="G40" s="52"/>
      <x:c r="H40" s="52"/>
      <x:c r="I40" s="52"/>
      <x:c r="J40" s="52"/>
      <x:c r="K40" s="23"/>
    </x:row>
    <x:row r="41">
      <x:c r="A41" s="49"/>
      <x:c r="B41" s="21"/>
      <x:c r="C41" s="21"/>
      <x:c r="D41" s="21"/>
      <x:c r="E41" s="52"/>
      <x:c r="F41" s="52"/>
      <x:c r="G41" s="52"/>
      <x:c r="H41" s="52"/>
      <x:c r="I41" s="52"/>
      <x:c r="J41" s="52"/>
      <x:c r="K41" s="23"/>
    </x:row>
    <x:row r="42">
      <x:c r="A42" s="49"/>
      <x:c r="B42" s="21"/>
      <x:c r="C42" s="21"/>
      <x:c r="D42" s="21"/>
      <x:c r="E42" s="52"/>
      <x:c r="F42" s="52"/>
      <x:c r="G42" s="52"/>
      <x:c r="H42" s="52"/>
      <x:c r="I42" s="52"/>
      <x:c r="J42" s="52"/>
      <x:c r="K42" s="23"/>
    </x:row>
    <x:row r="43">
      <x:c r="A43" s="49"/>
      <x:c r="B43" s="21"/>
      <x:c r="C43" s="21"/>
      <x:c r="D43" s="21"/>
      <x:c r="E43" s="52"/>
      <x:c r="F43" s="52"/>
      <x:c r="G43" s="52"/>
      <x:c r="H43" s="52"/>
      <x:c r="I43" s="52"/>
      <x:c r="J43" s="52"/>
      <x:c r="K43" s="23"/>
    </x:row>
    <x:row r="44">
      <x:c r="A44" s="49"/>
      <x:c r="B44" s="21"/>
      <x:c r="C44" s="21"/>
      <x:c r="D44" s="21"/>
      <x:c r="E44" s="52"/>
      <x:c r="F44" s="52"/>
      <x:c r="G44" s="52"/>
      <x:c r="H44" s="52"/>
      <x:c r="I44" s="52"/>
      <x:c r="J44" s="52"/>
      <x:c r="K44" s="23"/>
    </x:row>
    <x:row r="45">
      <x:c r="A45" s="49"/>
      <x:c r="B45" s="21"/>
      <x:c r="C45" s="21"/>
      <x:c r="D45" s="21"/>
      <x:c r="E45" s="52"/>
      <x:c r="F45" s="52"/>
      <x:c r="G45" s="52"/>
      <x:c r="H45" s="52"/>
      <x:c r="I45" s="52"/>
      <x:c r="J45" s="52"/>
      <x:c r="K45" s="23"/>
    </x:row>
    <x:row r="46">
      <x:c r="A46" s="49"/>
      <x:c r="B46" s="21"/>
      <x:c r="C46" s="21"/>
      <x:c r="D46" s="21"/>
      <x:c r="E46" s="52"/>
      <x:c r="F46" s="52"/>
      <x:c r="G46" s="52"/>
      <x:c r="H46" s="52"/>
      <x:c r="I46" s="52"/>
      <x:c r="J46" s="52"/>
      <x:c r="K46" s="23"/>
    </x:row>
    <x:row r="47">
      <x:c r="A47" s="49"/>
      <x:c r="B47" s="21"/>
      <x:c r="C47" s="21"/>
      <x:c r="D47" s="21"/>
      <x:c r="E47" s="52"/>
      <x:c r="F47" s="52"/>
      <x:c r="G47" s="52"/>
      <x:c r="H47" s="52"/>
      <x:c r="I47" s="52"/>
      <x:c r="J47" s="52"/>
      <x:c r="K47" s="23"/>
    </x:row>
    <x:row r="48">
      <x:c r="A48" s="49"/>
      <x:c r="B48" s="21"/>
      <x:c r="C48" s="21"/>
      <x:c r="D48" s="21"/>
      <x:c r="E48" s="52"/>
      <x:c r="F48" s="52"/>
      <x:c r="G48" s="52"/>
      <x:c r="H48" s="52"/>
      <x:c r="I48" s="52"/>
      <x:c r="J48" s="52"/>
      <x:c r="K48" s="23"/>
    </x:row>
    <x:row r="49">
      <x:c r="A49" s="49"/>
      <x:c r="B49" s="21"/>
      <x:c r="C49" s="21"/>
      <x:c r="D49" s="21"/>
      <x:c r="E49" s="52"/>
      <x:c r="F49" s="52"/>
      <x:c r="G49" s="52"/>
      <x:c r="H49" s="52"/>
      <x:c r="I49" s="52"/>
      <x:c r="J49" s="52"/>
      <x:c r="K49" s="23"/>
    </x:row>
    <x:row r="50">
      <x:c r="A50" s="49"/>
      <x:c r="B50" s="21"/>
      <x:c r="C50" s="21"/>
      <x:c r="D50" s="21"/>
      <x:c r="E50" s="52"/>
      <x:c r="F50" s="52"/>
      <x:c r="G50" s="52"/>
      <x:c r="H50" s="52"/>
      <x:c r="I50" s="52"/>
      <x:c r="J50" s="52"/>
      <x:c r="K50" s="23"/>
    </x:row>
    <x:row r="51">
      <x:c r="A51" s="49"/>
      <x:c r="B51" s="21"/>
      <x:c r="C51" s="21"/>
      <x:c r="D51" s="21"/>
      <x:c r="E51" s="52"/>
      <x:c r="F51" s="52"/>
      <x:c r="G51" s="52"/>
      <x:c r="H51" s="52"/>
      <x:c r="I51" s="52"/>
      <x:c r="J51" s="52"/>
      <x:c r="K51" s="23"/>
    </x:row>
    <x:row r="52">
      <x:c r="A52" s="49"/>
      <x:c r="B52" s="21"/>
      <x:c r="C52" s="21"/>
      <x:c r="D52" s="21"/>
      <x:c r="E52" s="52"/>
      <x:c r="F52" s="52"/>
      <x:c r="G52" s="52"/>
      <x:c r="H52" s="52"/>
      <x:c r="I52" s="52"/>
      <x:c r="J52" s="52"/>
      <x:c r="K52" s="23"/>
    </x:row>
    <x:row r="53">
      <x:c r="A53" s="49"/>
      <x:c r="B53" s="21"/>
      <x:c r="C53" s="21"/>
      <x:c r="D53" s="21"/>
      <x:c r="E53" s="52"/>
      <x:c r="F53" s="52"/>
      <x:c r="G53" s="52"/>
      <x:c r="H53" s="52"/>
      <x:c r="I53" s="52"/>
      <x:c r="J53" s="52"/>
      <x:c r="K53" s="23"/>
    </x:row>
    <x:row r="54">
      <x:c r="A54" s="49"/>
      <x:c r="B54" s="21"/>
      <x:c r="C54" s="21"/>
      <x:c r="D54" s="21"/>
      <x:c r="E54" s="52"/>
      <x:c r="F54" s="52"/>
      <x:c r="G54" s="52"/>
      <x:c r="H54" s="52"/>
      <x:c r="I54" s="52"/>
      <x:c r="J54" s="52"/>
      <x:c r="K54" s="23"/>
    </x:row>
    <x:row r="55">
      <x:c r="A55" s="49"/>
      <x:c r="B55" s="21"/>
      <x:c r="C55" s="21"/>
      <x:c r="D55" s="21"/>
      <x:c r="E55" s="52"/>
      <x:c r="F55" s="52"/>
      <x:c r="G55" s="52"/>
      <x:c r="H55" s="52"/>
      <x:c r="I55" s="52"/>
      <x:c r="J55" s="52"/>
      <x:c r="K55" s="23"/>
    </x:row>
    <x:row r="56">
      <x:c r="A56" s="49"/>
      <x:c r="B56" s="21"/>
      <x:c r="C56" s="21"/>
      <x:c r="D56" s="21"/>
      <x:c r="E56" s="52"/>
      <x:c r="F56" s="52"/>
      <x:c r="G56" s="52"/>
      <x:c r="H56" s="52"/>
      <x:c r="I56" s="52"/>
      <x:c r="J56" s="52"/>
      <x:c r="K56" s="23"/>
    </x:row>
    <x:row r="57">
      <x:c r="A57" s="49"/>
      <x:c r="B57" s="21"/>
      <x:c r="C57" s="21"/>
      <x:c r="D57" s="21"/>
      <x:c r="E57" s="52"/>
      <x:c r="F57" s="52"/>
      <x:c r="G57" s="52"/>
      <x:c r="H57" s="52"/>
      <x:c r="I57" s="52"/>
      <x:c r="J57" s="52"/>
      <x:c r="K57" s="23"/>
    </x:row>
    <x:row r="58">
      <x:c r="A58" s="49"/>
      <x:c r="B58" s="21"/>
      <x:c r="C58" s="21"/>
      <x:c r="D58" s="21"/>
      <x:c r="E58" s="52"/>
      <x:c r="F58" s="52"/>
      <x:c r="G58" s="52"/>
      <x:c r="H58" s="52"/>
      <x:c r="I58" s="52"/>
      <x:c r="J58" s="52"/>
      <x:c r="K58" s="23"/>
    </x:row>
    <x:row r="59">
      <x:c r="A59" s="49"/>
      <x:c r="B59" s="21"/>
      <x:c r="C59" s="21"/>
      <x:c r="D59" s="21"/>
      <x:c r="E59" s="52"/>
      <x:c r="F59" s="52"/>
      <x:c r="G59" s="52"/>
      <x:c r="H59" s="52"/>
      <x:c r="I59" s="52"/>
      <x:c r="J59" s="52"/>
      <x:c r="K59" s="23"/>
    </x:row>
    <x:row r="60">
      <x:c r="A60" s="49"/>
      <x:c r="B60" s="21"/>
      <x:c r="C60" s="21"/>
      <x:c r="D60" s="21"/>
      <x:c r="E60" s="52"/>
      <x:c r="F60" s="52"/>
      <x:c r="G60" s="52"/>
      <x:c r="H60" s="52"/>
      <x:c r="I60" s="52"/>
      <x:c r="J60" s="52"/>
      <x:c r="K60" s="23"/>
    </x:row>
    <x:row r="61">
      <x:c r="A61" s="49"/>
      <x:c r="B61" s="21"/>
      <x:c r="C61" s="21"/>
      <x:c r="D61" s="21"/>
      <x:c r="E61" s="52"/>
      <x:c r="F61" s="52"/>
      <x:c r="G61" s="52"/>
      <x:c r="H61" s="52"/>
      <x:c r="I61" s="52"/>
      <x:c r="J61" s="52"/>
      <x:c r="K61" s="23"/>
    </x:row>
    <x:row r="62">
      <x:c r="A62" s="49"/>
      <x:c r="B62" s="21"/>
      <x:c r="C62" s="21"/>
      <x:c r="D62" s="21"/>
      <x:c r="E62" s="52"/>
      <x:c r="F62" s="52"/>
      <x:c r="G62" s="52"/>
      <x:c r="H62" s="52"/>
      <x:c r="I62" s="52"/>
      <x:c r="J62" s="52"/>
      <x:c r="K62" s="23"/>
    </x:row>
    <x:row r="63">
      <x:c r="A63" s="49"/>
      <x:c r="B63" s="21"/>
      <x:c r="C63" s="21"/>
      <x:c r="D63" s="21"/>
      <x:c r="E63" s="52"/>
      <x:c r="F63" s="52"/>
      <x:c r="G63" s="52"/>
      <x:c r="H63" s="52"/>
      <x:c r="I63" s="52"/>
      <x:c r="J63" s="52"/>
      <x:c r="K63" s="23"/>
    </x:row>
    <x:row r="64">
      <x:c r="A64" s="49"/>
      <x:c r="B64" s="21"/>
      <x:c r="C64" s="21"/>
      <x:c r="D64" s="21"/>
      <x:c r="E64" s="52"/>
      <x:c r="F64" s="52"/>
      <x:c r="G64" s="52"/>
      <x:c r="H64" s="52"/>
      <x:c r="I64" s="52"/>
      <x:c r="J64" s="52"/>
      <x:c r="K64" s="23"/>
    </x:row>
    <x:row r="65">
      <x:c r="A65" s="49"/>
      <x:c r="B65" s="21"/>
      <x:c r="C65" s="21"/>
      <x:c r="D65" s="21"/>
      <x:c r="E65" s="52"/>
      <x:c r="F65" s="52"/>
      <x:c r="G65" s="52"/>
      <x:c r="H65" s="52"/>
      <x:c r="I65" s="52"/>
      <x:c r="J65" s="52"/>
      <x:c r="K65" s="23"/>
    </x:row>
    <x:row r="66">
      <x:c r="A66" s="49"/>
      <x:c r="B66" s="21"/>
      <x:c r="C66" s="21"/>
      <x:c r="D66" s="21"/>
      <x:c r="E66" s="52"/>
      <x:c r="F66" s="52"/>
      <x:c r="G66" s="52"/>
      <x:c r="H66" s="52"/>
      <x:c r="I66" s="52"/>
      <x:c r="J66" s="52"/>
      <x:c r="K66" s="23"/>
    </x:row>
    <x:row r="67">
      <x:c r="A67" s="49"/>
      <x:c r="B67" s="21"/>
      <x:c r="C67" s="21"/>
      <x:c r="D67" s="21"/>
      <x:c r="E67" s="52"/>
      <x:c r="F67" s="52"/>
      <x:c r="G67" s="52"/>
      <x:c r="H67" s="52"/>
      <x:c r="I67" s="52"/>
      <x:c r="J67" s="52"/>
      <x:c r="K67" s="23"/>
    </x:row>
    <x:row r="68">
      <x:c r="A68" s="49"/>
      <x:c r="B68" s="21"/>
      <x:c r="C68" s="21"/>
      <x:c r="D68" s="21"/>
      <x:c r="E68" s="52"/>
      <x:c r="F68" s="52"/>
      <x:c r="G68" s="52"/>
      <x:c r="H68" s="52"/>
      <x:c r="I68" s="52"/>
      <x:c r="J68" s="52"/>
      <x:c r="K68" s="23"/>
    </x:row>
    <x:row r="69">
      <x:c r="A69" s="49"/>
      <x:c r="B69" s="21"/>
      <x:c r="C69" s="21"/>
      <x:c r="D69" s="21"/>
      <x:c r="E69" s="52"/>
      <x:c r="F69" s="52"/>
      <x:c r="G69" s="52"/>
      <x:c r="H69" s="52"/>
      <x:c r="I69" s="52"/>
      <x:c r="J69" s="52"/>
      <x:c r="K69" s="23"/>
    </x:row>
    <x:row r="70">
      <x:c r="A70" s="49"/>
      <x:c r="B70" s="21"/>
      <x:c r="C70" s="21"/>
      <x:c r="D70" s="21"/>
      <x:c r="E70" s="52"/>
      <x:c r="F70" s="52"/>
      <x:c r="G70" s="52"/>
      <x:c r="H70" s="52"/>
      <x:c r="I70" s="52"/>
      <x:c r="J70" s="52"/>
      <x:c r="K70" s="23"/>
    </x:row>
    <x:row r="71">
      <x:c r="A71" s="49"/>
      <x:c r="B71" s="21"/>
      <x:c r="C71" s="21"/>
      <x:c r="D71" s="21"/>
      <x:c r="E71" s="52"/>
      <x:c r="F71" s="52"/>
      <x:c r="G71" s="52"/>
      <x:c r="H71" s="52"/>
      <x:c r="I71" s="52"/>
      <x:c r="J71" s="52"/>
      <x:c r="K71" s="23"/>
    </x:row>
    <x:row r="72">
      <x:c r="A72" s="49"/>
      <x:c r="B72" s="21"/>
      <x:c r="C72" s="21"/>
      <x:c r="D72" s="21"/>
      <x:c r="E72" s="52"/>
      <x:c r="F72" s="52"/>
      <x:c r="G72" s="52"/>
      <x:c r="H72" s="52"/>
      <x:c r="I72" s="52"/>
      <x:c r="J72" s="52"/>
      <x:c r="K72" s="23"/>
    </x:row>
    <x:row r="73">
      <x:c r="A73" s="49"/>
      <x:c r="B73" s="21"/>
      <x:c r="C73" s="21"/>
      <x:c r="D73" s="21"/>
      <x:c r="E73" s="52"/>
      <x:c r="F73" s="52"/>
      <x:c r="G73" s="52"/>
      <x:c r="H73" s="52"/>
      <x:c r="I73" s="52"/>
      <x:c r="J73" s="52"/>
      <x:c r="K73" s="23"/>
    </x:row>
    <x:row r="74">
      <x:c r="A74" s="49"/>
      <x:c r="B74" s="21"/>
      <x:c r="C74" s="21"/>
      <x:c r="D74" s="21"/>
      <x:c r="E74" s="52"/>
      <x:c r="F74" s="52"/>
      <x:c r="G74" s="52"/>
      <x:c r="H74" s="52"/>
      <x:c r="I74" s="52"/>
      <x:c r="J74" s="52"/>
      <x:c r="K74" s="23"/>
    </x:row>
    <x:row r="75">
      <x:c r="A75" s="49"/>
      <x:c r="B75" s="21"/>
      <x:c r="C75" s="21"/>
      <x:c r="D75" s="21"/>
      <x:c r="E75" s="52"/>
      <x:c r="F75" s="52"/>
      <x:c r="G75" s="52"/>
      <x:c r="H75" s="52"/>
      <x:c r="I75" s="52"/>
      <x:c r="J75" s="52"/>
      <x:c r="K75" s="23"/>
    </x:row>
    <x:row r="76">
      <x:c r="A76" s="49"/>
      <x:c r="B76" s="21"/>
      <x:c r="C76" s="21"/>
      <x:c r="D76" s="21"/>
      <x:c r="E76" s="52"/>
      <x:c r="F76" s="52"/>
      <x:c r="G76" s="52"/>
      <x:c r="H76" s="52"/>
      <x:c r="I76" s="52"/>
      <x:c r="J76" s="52"/>
      <x:c r="K76" s="23"/>
    </x:row>
    <x:row r="77">
      <x:c r="A77" s="49"/>
      <x:c r="B77" s="21"/>
      <x:c r="C77" s="21"/>
      <x:c r="D77" s="21"/>
      <x:c r="E77" s="52"/>
      <x:c r="F77" s="52"/>
      <x:c r="G77" s="52"/>
      <x:c r="H77" s="52"/>
      <x:c r="I77" s="52"/>
      <x:c r="J77" s="52"/>
      <x:c r="K77" s="23"/>
    </x:row>
    <x:row r="78">
      <x:c r="A78" s="49"/>
      <x:c r="B78" s="21"/>
      <x:c r="C78" s="21"/>
      <x:c r="D78" s="21"/>
      <x:c r="E78" s="52"/>
      <x:c r="F78" s="52"/>
      <x:c r="G78" s="52"/>
      <x:c r="H78" s="52"/>
      <x:c r="I78" s="52"/>
      <x:c r="J78" s="52"/>
      <x:c r="K78" s="23"/>
    </x:row>
    <x:row r="79">
      <x:c r="A79" s="49"/>
      <x:c r="B79" s="21"/>
      <x:c r="C79" s="21"/>
      <x:c r="D79" s="21"/>
      <x:c r="E79" s="52"/>
      <x:c r="F79" s="52"/>
      <x:c r="G79" s="52"/>
      <x:c r="H79" s="52"/>
      <x:c r="I79" s="52"/>
      <x:c r="J79" s="52"/>
      <x:c r="K79" s="23"/>
    </x:row>
    <x:row r="80">
      <x:c r="A80" s="49"/>
      <x:c r="B80" s="21"/>
      <x:c r="C80" s="21"/>
      <x:c r="D80" s="21"/>
      <x:c r="E80" s="52"/>
      <x:c r="F80" s="52"/>
      <x:c r="G80" s="52"/>
      <x:c r="H80" s="52"/>
      <x:c r="I80" s="52"/>
      <x:c r="J80" s="52"/>
      <x:c r="K80" s="23"/>
    </x:row>
    <x:row r="81">
      <x:c r="A81" s="49"/>
      <x:c r="B81" s="21"/>
      <x:c r="C81" s="21"/>
      <x:c r="D81" s="21"/>
      <x:c r="E81" s="52"/>
      <x:c r="F81" s="52"/>
      <x:c r="G81" s="52"/>
      <x:c r="H81" s="52"/>
      <x:c r="I81" s="52"/>
      <x:c r="J81" s="52"/>
      <x:c r="K81" s="23"/>
    </x:row>
    <x:row r="82">
      <x:c r="A82" s="49"/>
      <x:c r="B82" s="21"/>
      <x:c r="C82" s="21"/>
      <x:c r="D82" s="21"/>
      <x:c r="E82" s="52"/>
      <x:c r="F82" s="52"/>
      <x:c r="G82" s="52"/>
      <x:c r="H82" s="52"/>
      <x:c r="I82" s="52"/>
      <x:c r="J82" s="52"/>
      <x:c r="K82" s="23"/>
    </x:row>
    <x:row r="83">
      <x:c r="A83" s="49"/>
      <x:c r="B83" s="21"/>
      <x:c r="C83" s="21"/>
      <x:c r="D83" s="21"/>
      <x:c r="E83" s="52"/>
      <x:c r="F83" s="52"/>
      <x:c r="G83" s="52"/>
      <x:c r="H83" s="52"/>
      <x:c r="I83" s="52"/>
      <x:c r="J83" s="52"/>
      <x:c r="K83" s="23"/>
    </x:row>
    <x:row r="84">
      <x:c r="A84" s="49"/>
      <x:c r="B84" s="21"/>
      <x:c r="C84" s="21"/>
      <x:c r="D84" s="21"/>
      <x:c r="E84" s="52"/>
      <x:c r="F84" s="52"/>
      <x:c r="G84" s="52"/>
      <x:c r="H84" s="52"/>
      <x:c r="I84" s="52"/>
      <x:c r="J84" s="52"/>
      <x:c r="K84" s="23"/>
    </x:row>
    <x:row r="85">
      <x:c r="A85" s="49"/>
      <x:c r="B85" s="21"/>
      <x:c r="C85" s="21"/>
      <x:c r="D85" s="21"/>
      <x:c r="E85" s="52"/>
      <x:c r="F85" s="52"/>
      <x:c r="G85" s="52"/>
      <x:c r="H85" s="52"/>
      <x:c r="I85" s="52"/>
      <x:c r="J85" s="52"/>
      <x:c r="K85" s="23"/>
    </x:row>
    <x:row r="86">
      <x:c r="A86" s="49"/>
      <x:c r="B86" s="21"/>
      <x:c r="C86" s="21"/>
      <x:c r="D86" s="21"/>
      <x:c r="E86" s="52"/>
      <x:c r="F86" s="52"/>
      <x:c r="G86" s="52"/>
      <x:c r="H86" s="52"/>
      <x:c r="I86" s="52"/>
      <x:c r="J86" s="52"/>
      <x:c r="K86" s="23"/>
    </x:row>
    <x:row r="87">
      <x:c r="A87" s="49"/>
      <x:c r="B87" s="21"/>
      <x:c r="C87" s="21"/>
      <x:c r="D87" s="21"/>
      <x:c r="E87" s="52"/>
      <x:c r="F87" s="52"/>
      <x:c r="G87" s="52"/>
      <x:c r="H87" s="52"/>
      <x:c r="I87" s="52"/>
      <x:c r="J87" s="52"/>
      <x:c r="K87" s="23"/>
    </x:row>
    <x:row r="88">
      <x:c r="A88" s="49"/>
      <x:c r="B88" s="21"/>
      <x:c r="C88" s="21"/>
      <x:c r="D88" s="21"/>
      <x:c r="E88" s="52"/>
      <x:c r="F88" s="52"/>
      <x:c r="G88" s="52"/>
      <x:c r="H88" s="52"/>
      <x:c r="I88" s="52"/>
      <x:c r="J88" s="52"/>
      <x:c r="K88" s="23"/>
    </x:row>
    <x:row r="89">
      <x:c r="A89" s="49"/>
      <x:c r="B89" s="21"/>
      <x:c r="C89" s="21"/>
      <x:c r="D89" s="21"/>
      <x:c r="E89" s="52"/>
      <x:c r="F89" s="52"/>
      <x:c r="G89" s="52"/>
      <x:c r="H89" s="52"/>
      <x:c r="I89" s="52"/>
      <x:c r="J89" s="52"/>
      <x:c r="K89" s="23"/>
    </x:row>
    <x:row r="90">
      <x:c r="A90" s="49"/>
      <x:c r="B90" s="21"/>
      <x:c r="C90" s="21"/>
      <x:c r="D90" s="21"/>
      <x:c r="E90" s="52"/>
      <x:c r="F90" s="52"/>
      <x:c r="G90" s="52"/>
      <x:c r="H90" s="52"/>
      <x:c r="I90" s="52"/>
      <x:c r="J90" s="52"/>
      <x:c r="K90" s="23"/>
    </x:row>
    <x:row r="91">
      <x:c r="A91" s="49"/>
      <x:c r="B91" s="21"/>
      <x:c r="C91" s="21"/>
      <x:c r="D91" s="21"/>
      <x:c r="E91" s="52"/>
      <x:c r="F91" s="52"/>
      <x:c r="G91" s="52"/>
      <x:c r="H91" s="52"/>
      <x:c r="I91" s="52"/>
      <x:c r="J91" s="52"/>
      <x:c r="K91" s="23"/>
    </x:row>
    <x:row r="92">
      <x:c r="A92" s="49"/>
      <x:c r="B92" s="21"/>
      <x:c r="C92" s="21"/>
      <x:c r="D92" s="21"/>
      <x:c r="E92" s="52"/>
      <x:c r="F92" s="52"/>
      <x:c r="G92" s="52"/>
      <x:c r="H92" s="52"/>
      <x:c r="I92" s="52"/>
      <x:c r="J92" s="52"/>
      <x:c r="K92" s="23"/>
    </x:row>
    <x:row r="93">
      <x:c r="A93" s="49"/>
      <x:c r="B93" s="21"/>
      <x:c r="C93" s="21"/>
      <x:c r="D93" s="21"/>
      <x:c r="E93" s="52"/>
      <x:c r="F93" s="52"/>
      <x:c r="G93" s="52"/>
      <x:c r="H93" s="52"/>
      <x:c r="I93" s="52"/>
      <x:c r="J93" s="52"/>
      <x:c r="K93" s="23"/>
    </x:row>
    <x:row r="94">
      <x:c r="A94" s="49"/>
      <x:c r="B94" s="21"/>
      <x:c r="C94" s="21"/>
      <x:c r="D94" s="21"/>
      <x:c r="E94" s="52"/>
      <x:c r="F94" s="52"/>
      <x:c r="G94" s="52"/>
      <x:c r="H94" s="52"/>
      <x:c r="I94" s="52"/>
      <x:c r="J94" s="52"/>
      <x:c r="K94" s="23"/>
    </x:row>
    <x:row r="95">
      <x:c r="A95" s="49"/>
      <x:c r="B95" s="21"/>
      <x:c r="C95" s="21"/>
      <x:c r="D95" s="21"/>
      <x:c r="E95" s="52"/>
      <x:c r="F95" s="52"/>
      <x:c r="G95" s="52"/>
      <x:c r="H95" s="52"/>
      <x:c r="I95" s="52"/>
      <x:c r="J95" s="52"/>
      <x:c r="K95" s="23"/>
    </x:row>
    <x:row r="96">
      <x:c r="A96" s="49"/>
      <x:c r="B96" s="21"/>
      <x:c r="C96" s="21"/>
      <x:c r="D96" s="21"/>
      <x:c r="E96" s="52"/>
      <x:c r="F96" s="52"/>
      <x:c r="G96" s="52"/>
      <x:c r="H96" s="52"/>
      <x:c r="I96" s="52"/>
      <x:c r="J96" s="52"/>
      <x:c r="K96" s="23"/>
    </x:row>
    <x:row r="97">
      <x:c r="A97" s="49"/>
      <x:c r="B97" s="21"/>
      <x:c r="C97" s="21"/>
      <x:c r="D97" s="21"/>
      <x:c r="E97" s="52"/>
      <x:c r="F97" s="52"/>
      <x:c r="G97" s="52"/>
      <x:c r="H97" s="52"/>
      <x:c r="I97" s="52"/>
      <x:c r="J97" s="52"/>
      <x:c r="K97" s="23"/>
    </x:row>
    <x:row r="98">
      <x:c r="A98" s="49"/>
      <x:c r="B98" s="21"/>
      <x:c r="C98" s="21"/>
      <x:c r="D98" s="21"/>
      <x:c r="E98" s="52"/>
      <x:c r="F98" s="52"/>
      <x:c r="G98" s="52"/>
      <x:c r="H98" s="52"/>
      <x:c r="I98" s="52"/>
      <x:c r="J98" s="52"/>
      <x:c r="K98" s="23"/>
    </x:row>
    <x:row r="99">
      <x:c r="A99" s="49"/>
      <x:c r="B99" s="21"/>
      <x:c r="C99" s="21"/>
      <x:c r="D99" s="21"/>
      <x:c r="E99" s="52"/>
      <x:c r="F99" s="52"/>
      <x:c r="G99" s="52"/>
      <x:c r="H99" s="52"/>
      <x:c r="I99" s="52"/>
      <x:c r="J99" s="52"/>
      <x:c r="K99" s="23"/>
    </x:row>
    <x:row r="100">
      <x:c r="A100" s="49"/>
      <x:c r="B100" s="21"/>
      <x:c r="C100" s="21"/>
      <x:c r="D100" s="21"/>
      <x:c r="E100" s="52"/>
      <x:c r="F100" s="52"/>
      <x:c r="G100" s="52"/>
      <x:c r="H100" s="52"/>
      <x:c r="I100" s="52"/>
      <x:c r="J100" s="52"/>
      <x:c r="K100" s="23"/>
    </x:row>
    <x:row r="101">
      <x:c r="A101" s="49"/>
      <x:c r="B101" s="21"/>
      <x:c r="C101" s="21"/>
      <x:c r="D101" s="21"/>
      <x:c r="E101" s="52"/>
      <x:c r="F101" s="52"/>
      <x:c r="G101" s="52"/>
      <x:c r="H101" s="52"/>
      <x:c r="I101" s="52"/>
      <x:c r="J101" s="52"/>
      <x:c r="K101" s="23"/>
    </x:row>
    <x:row r="102">
      <x:c r="A102" s="49"/>
      <x:c r="B102" s="21"/>
      <x:c r="C102" s="21"/>
      <x:c r="D102" s="21"/>
      <x:c r="E102" s="52"/>
      <x:c r="F102" s="52"/>
      <x:c r="G102" s="52"/>
      <x:c r="H102" s="52"/>
      <x:c r="I102" s="52"/>
      <x:c r="J102" s="52"/>
      <x:c r="K102" s="23"/>
    </x:row>
    <x:row r="103">
      <x:c r="A103" s="49"/>
      <x:c r="B103" s="21"/>
      <x:c r="C103" s="21"/>
      <x:c r="D103" s="21"/>
      <x:c r="E103" s="52"/>
      <x:c r="F103" s="52"/>
      <x:c r="G103" s="52"/>
      <x:c r="H103" s="52"/>
      <x:c r="I103" s="52"/>
      <x:c r="J103" s="52"/>
      <x:c r="K103" s="23"/>
    </x:row>
    <x:row r="104">
      <x:c r="A104" s="50"/>
      <x:c r="B104" s="26"/>
      <x:c r="C104" s="26"/>
      <x:c r="D104" s="26"/>
      <x:c r="E104" s="53"/>
      <x:c r="F104" s="53"/>
      <x:c r="G104" s="53"/>
      <x:c r="H104" s="53"/>
      <x:c r="I104" s="53"/>
      <x:c r="J104" s="53"/>
      <x:c r="K104" s="27"/>
    </x:row>
  </x:sheetData>
  <x:mergeCells>
    <x:mergeCell ref="A1:K1"/>
    <x:mergeCell ref="A2:J2"/>
  </x:mergeCells>
  <x:pageMargins left="0.7" right="0.7" top="0.75" bottom="0.75" header="0.3" footer="0.3"/>
  <x:tableParts count="1">
    <x:tablePart xmlns:r="http://schemas.openxmlformats.org/officeDocument/2006/relationships" r:id="R41e84e38430b40b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3.75" hidden="0" customWidth="1"/>
    <x:col min="3" max="3" width="13.75" hidden="0" customWidth="1"/>
    <x:col min="4" max="4" width="13.7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>
      <x:c r="A1" s="4" t="str">
        <x:v>KPI brygad</x:v>
      </x:c>
      <x:c r="B1" s="4"/>
      <x:c r="C1" s="4"/>
      <x:c r="D1" s="4"/>
      <x:c r="E1" s="4"/>
      <x:c r="F1" s="4"/>
      <x:c r="G1" s="4"/>
      <x:c r="H1" s="4"/>
      <x:c r="I1" s="4"/>
      <x:c r="J1" s="4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6" t="str">
        <x:v>Podsumowanie brygad na podstawie danych surowych.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13" t="str">
        <x:v>Brygada</x:v>
      </x:c>
      <x:c r="B4" s="13" t="str">
        <x:v>Zadania</x:v>
      </x:c>
      <x:c r="C4" s="13" t="str">
        <x:v>Zakonczone</x:v>
      </x:c>
      <x:c r="D4" s="13" t="str">
        <x:v>Opoznione</x:v>
      </x:c>
      <x:c r="E4" s="13" t="str">
        <x:v>Completion %</x:v>
      </x:c>
      <x:c r="F4" s="13" t="str">
        <x:v>Delay %</x:v>
      </x:c>
      <x:c r="G4" s="13" t="str">
        <x:v>Roboczogodziny</x:v>
      </x:c>
      <x:c r="H4" s="13" t="str">
        <x:v>Zadania / h</x:v>
      </x:c>
      <x:c r="I4" s="13" t="str">
        <x:v>Koszt / zadanie</x:v>
      </x:c>
      <x:c r="J4" s="13" t="str">
        <x:v>Marza</x:v>
      </x:c>
    </x:row>
    <x:row r="5">
      <x:c r="A5" s="47" t="str">
        <x:v>Brygada A</x:v>
      </x:c>
      <x:c r="B5" s="51" t="n">
        <x:f>SUMIF('Dane scalone'!$B$5:$B$104,A5,'Dane scalone'!$E$5:$E$104)</x:f>
        <x:v>183</x:v>
      </x:c>
      <x:c r="C5" s="51" t="n">
        <x:f>SUMIF('Dane scalone'!$B$5:$B$104,A5,'Dane scalone'!$F$5:$F$104)</x:f>
        <x:v>176</x:v>
      </x:c>
      <x:c r="D5" s="51" t="n">
        <x:f>SUMIF('Dane scalone'!$B$5:$B$104,A5,'Dane scalone'!$G$5:$G$104)</x:f>
        <x:v>7</x:v>
      </x:c>
      <x:c r="E5" s="54" t="n">
        <x:f>IFERROR(C5/B5,0)</x:f>
        <x:v>0.9617486338797814</x:v>
      </x:c>
      <x:c r="F5" s="54" t="n">
        <x:f>IFERROR(D5/B5,0)</x:f>
        <x:v>0.03825136612021858</x:v>
      </x:c>
      <x:c r="G5" s="51" t="n">
        <x:f>SUMIF('Dane scalone'!$B$5:$B$104,A5,'Dane scalone'!$H$5:$H$104)</x:f>
        <x:v>1298</x:v>
      </x:c>
      <x:c r="H5" s="56" t="n">
        <x:f>IFERROR(C5/G5,0)</x:f>
        <x:v>0.13559322033898305</x:v>
      </x:c>
      <x:c r="I5" s="59" t="n">
        <x:f>IFERROR(SUMIF('Dane scalone'!$B$5:$B$104,A5,'Dane scalone'!$I$5:$I$104)/B5,0)</x:f>
        <x:v>425.0273224043716</x:v>
      </x:c>
      <x:c r="J5" s="60" t="n">
        <x:f>SUMIF('Dane scalone'!$B$5:$B$104,A5,'Dane scalone'!$J$5:$J$104)-SUMIF('Dane scalone'!$B$5:$B$104,A5,'Dane scalone'!$I$5:$I$104)</x:f>
        <x:v>40820</x:v>
      </x:c>
    </x:row>
    <x:row r="6">
      <x:c r="A6" s="24" t="str">
        <x:v>Brygada B</x:v>
      </x:c>
      <x:c r="B6" s="52" t="n">
        <x:f>SUMIF('Dane scalone'!$B$5:$B$104,A6,'Dane scalone'!$E$5:$E$104)</x:f>
        <x:v>154</x:v>
      </x:c>
      <x:c r="C6" s="52" t="n">
        <x:f>SUMIF('Dane scalone'!$B$5:$B$104,A6,'Dane scalone'!$F$5:$F$104)</x:f>
        <x:v>142</x:v>
      </x:c>
      <x:c r="D6" s="52" t="n">
        <x:f>SUMIF('Dane scalone'!$B$5:$B$104,A6,'Dane scalone'!$G$5:$G$104)</x:f>
        <x:v>12</x:v>
      </x:c>
      <x:c r="E6" s="55" t="n">
        <x:f>IFERROR(C6/B6,0)</x:f>
        <x:v>0.922077922077922</x:v>
      </x:c>
      <x:c r="F6" s="55" t="n">
        <x:f>IFERROR(D6/B6,0)</x:f>
        <x:v>0.07792207792207792</x:v>
      </x:c>
      <x:c r="G6" s="52" t="n">
        <x:f>SUMIF('Dane scalone'!$B$5:$B$104,A6,'Dane scalone'!$H$5:$H$104)</x:f>
        <x:v>1170</x:v>
      </x:c>
      <x:c r="H6" s="57" t="n">
        <x:f>IFERROR(C6/G6,0)</x:f>
        <x:v>0.12136752136752137</x:v>
      </x:c>
      <x:c r="I6" s="61" t="n">
        <x:f>IFERROR(SUMIF('Dane scalone'!$B$5:$B$104,A6,'Dane scalone'!$I$5:$I$104)/B6,0)</x:f>
        <x:v>455.84415584415586</x:v>
      </x:c>
      <x:c r="J6" s="62" t="n">
        <x:f>SUMIF('Dane scalone'!$B$5:$B$104,A6,'Dane scalone'!$J$5:$J$104)-SUMIF('Dane scalone'!$B$5:$B$104,A6,'Dane scalone'!$I$5:$I$104)</x:f>
        <x:v>29000</x:v>
      </x:c>
    </x:row>
    <x:row r="7">
      <x:c r="A7" s="25" t="str">
        <x:v>Brygada C</x:v>
      </x:c>
      <x:c r="B7" s="53" t="n">
        <x:f>SUMIF('Dane scalone'!$B$5:$B$104,A7,'Dane scalone'!$E$5:$E$104)</x:f>
        <x:v>220</x:v>
      </x:c>
      <x:c r="C7" s="53" t="n">
        <x:f>SUMIF('Dane scalone'!$B$5:$B$104,A7,'Dane scalone'!$F$5:$F$104)</x:f>
        <x:v>211</x:v>
      </x:c>
      <x:c r="D7" s="53" t="n">
        <x:f>SUMIF('Dane scalone'!$B$5:$B$104,A7,'Dane scalone'!$G$5:$G$104)</x:f>
        <x:v>9</x:v>
      </x:c>
      <x:c r="E7" s="46" t="n">
        <x:f>IFERROR(C7/B7,0)</x:f>
        <x:v>0.9590909090909091</x:v>
      </x:c>
      <x:c r="F7" s="46" t="n">
        <x:f>IFERROR(D7/B7,0)</x:f>
        <x:v>0.04090909090909091</x:v>
      </x:c>
      <x:c r="G7" s="53" t="n">
        <x:f>SUMIF('Dane scalone'!$B$5:$B$104,A7,'Dane scalone'!$H$5:$H$104)</x:f>
        <x:v>1468</x:v>
      </x:c>
      <x:c r="H7" s="58" t="n">
        <x:f>IFERROR(C7/G7,0)</x:f>
        <x:v>0.14373297002724797</x:v>
      </x:c>
      <x:c r="I7" s="63" t="n">
        <x:f>IFERROR(SUMIF('Dane scalone'!$B$5:$B$104,A7,'Dane scalone'!$I$5:$I$104)/B7,0)</x:f>
        <x:v>414.1363636363636</x:v>
      </x:c>
      <x:c r="J7" s="64" t="n">
        <x:f>SUMIF('Dane scalone'!$B$5:$B$104,A7,'Dane scalone'!$J$5:$J$104)-SUMIF('Dane scalone'!$B$5:$B$104,A7,'Dane scalone'!$I$5:$I$104)</x:f>
        <x:v>52390</x:v>
      </x:c>
    </x:row>
  </x:sheetData>
  <x:mergeCells>
    <x:mergeCell ref="A1:J1"/>
    <x:mergeCell ref="A2:J2"/>
  </x:mergeCells>
  <x:conditionalFormatting sqref="F5:F7">
    <x:cfRule type="cellIs" dxfId="0" priority="1" operator="greaterThan">
      <x:formula>Ustawienia!$C$17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3.75" hidden="0" customWidth="1"/>
    <x:col min="3" max="3" width="13.75" hidden="0" customWidth="1"/>
    <x:col min="4" max="4" width="13.75" hidden="0" customWidth="1"/>
    <x:col min="5" max="5" width="15" hidden="0" customWidth="1"/>
    <x:col min="6" max="6" width="15" hidden="0" customWidth="1"/>
    <x:col min="7" max="7" width="15" hidden="0" customWidth="1"/>
  </x:cols>
  <x:sheetData>
    <x:row r="1">
      <x:c r="A1" s="4" t="str">
        <x:v>Tygodnie</x:v>
      </x:c>
      <x:c r="B1" s="4"/>
      <x:c r="C1" s="4"/>
      <x:c r="D1" s="4"/>
      <x:c r="E1" s="4"/>
      <x:c r="F1" s="4"/>
      <x:c r="G1" s="4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6" t="str">
        <x:v>Trend tygodniowy zadan, opoznien i marzy.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13" t="str">
        <x:v>Tydzien</x:v>
      </x:c>
      <x:c r="B4" s="13" t="str">
        <x:v>Zadania</x:v>
      </x:c>
      <x:c r="C4" s="13" t="str">
        <x:v>Zakonczone</x:v>
      </x:c>
      <x:c r="D4" s="13" t="str">
        <x:v>Opoznione</x:v>
      </x:c>
      <x:c r="E4" s="13" t="str">
        <x:v>Delay %</x:v>
      </x:c>
      <x:c r="F4" s="13" t="str">
        <x:v>Roboczogodziny</x:v>
      </x:c>
      <x:c r="G4" s="13" t="str">
        <x:v>Marza</x:v>
      </x:c>
    </x:row>
    <x:row r="5">
      <x:c r="A5" s="48" t="n">
        <x:v>46143</x:v>
      </x:c>
      <x:c r="B5" s="51" t="n">
        <x:f>SUMIF('Dane scalone'!$A$5:$A$104,A5,'Dane scalone'!$E$5:$E$104)</x:f>
        <x:v>128</x:v>
      </x:c>
      <x:c r="C5" s="51" t="n">
        <x:f>SUMIF('Dane scalone'!$A$5:$A$104,A5,'Dane scalone'!$F$5:$F$104)</x:f>
        <x:v>119</x:v>
      </x:c>
      <x:c r="D5" s="51" t="n">
        <x:f>SUMIF('Dane scalone'!$A$5:$A$104,A5,'Dane scalone'!$G$5:$G$104)</x:f>
        <x:v>9</x:v>
      </x:c>
      <x:c r="E5" s="54" t="n">
        <x:f>IFERROR(D5/B5,0)</x:f>
        <x:v>0.0703125</x:v>
      </x:c>
      <x:c r="F5" s="51" t="n">
        <x:f>SUMIF('Dane scalone'!$A$5:$A$104,A5,'Dane scalone'!$H$5:$H$104)</x:f>
        <x:v>930</x:v>
      </x:c>
      <x:c r="G5" s="60" t="n">
        <x:f>SUMIF('Dane scalone'!$A$5:$A$104,A5,'Dane scalone'!$J$5:$J$104)-SUMIF('Dane scalone'!$A$5:$A$104,A5,'Dane scalone'!$I$5:$I$104)</x:f>
        <x:v>27800</x:v>
      </x:c>
    </x:row>
    <x:row r="6">
      <x:c r="A6" s="49" t="n">
        <x:v>46150</x:v>
      </x:c>
      <x:c r="B6" s="52" t="n">
        <x:f>SUMIF('Dane scalone'!$A$5:$A$104,A6,'Dane scalone'!$E$5:$E$104)</x:f>
        <x:v>138</x:v>
      </x:c>
      <x:c r="C6" s="52" t="n">
        <x:f>SUMIF('Dane scalone'!$A$5:$A$104,A6,'Dane scalone'!$F$5:$F$104)</x:f>
        <x:v>130</x:v>
      </x:c>
      <x:c r="D6" s="52" t="n">
        <x:f>SUMIF('Dane scalone'!$A$5:$A$104,A6,'Dane scalone'!$G$5:$G$104)</x:f>
        <x:v>8</x:v>
      </x:c>
      <x:c r="E6" s="55" t="n">
        <x:f>IFERROR(D6/B6,0)</x:f>
        <x:v>0.057971014492753624</x:v>
      </x:c>
      <x:c r="F6" s="52" t="n">
        <x:f>SUMIF('Dane scalone'!$A$5:$A$104,A6,'Dane scalone'!$H$5:$H$104)</x:f>
        <x:v>977</x:v>
      </x:c>
      <x:c r="G6" s="62" t="n">
        <x:f>SUMIF('Dane scalone'!$A$5:$A$104,A6,'Dane scalone'!$J$5:$J$104)-SUMIF('Dane scalone'!$A$5:$A$104,A6,'Dane scalone'!$I$5:$I$104)</x:f>
        <x:v>29450</x:v>
      </x:c>
    </x:row>
    <x:row r="7">
      <x:c r="A7" s="49" t="n">
        <x:v>46157</x:v>
      </x:c>
      <x:c r="B7" s="52" t="n">
        <x:f>SUMIF('Dane scalone'!$A$5:$A$104,A7,'Dane scalone'!$E$5:$E$104)</x:f>
        <x:v>143</x:v>
      </x:c>
      <x:c r="C7" s="52" t="n">
        <x:f>SUMIF('Dane scalone'!$A$5:$A$104,A7,'Dane scalone'!$F$5:$F$104)</x:f>
        <x:v>136</x:v>
      </x:c>
      <x:c r="D7" s="52" t="n">
        <x:f>SUMIF('Dane scalone'!$A$5:$A$104,A7,'Dane scalone'!$G$5:$G$104)</x:f>
        <x:v>7</x:v>
      </x:c>
      <x:c r="E7" s="55" t="n">
        <x:f>IFERROR(D7/B7,0)</x:f>
        <x:v>0.04895104895104895</x:v>
      </x:c>
      <x:c r="F7" s="52" t="n">
        <x:f>SUMIF('Dane scalone'!$A$5:$A$104,A7,'Dane scalone'!$H$5:$H$104)</x:f>
        <x:v>1005</x:v>
      </x:c>
      <x:c r="G7" s="62" t="n">
        <x:f>SUMIF('Dane scalone'!$A$5:$A$104,A7,'Dane scalone'!$J$5:$J$104)-SUMIF('Dane scalone'!$A$5:$A$104,A7,'Dane scalone'!$I$5:$I$104)</x:f>
        <x:v>31060</x:v>
      </x:c>
    </x:row>
    <x:row r="8">
      <x:c r="A8" s="49" t="n">
        <x:v>46164</x:v>
      </x:c>
      <x:c r="B8" s="52" t="n">
        <x:f>SUMIF('Dane scalone'!$A$5:$A$104,A8,'Dane scalone'!$E$5:$E$104)</x:f>
        <x:v>148</x:v>
      </x:c>
      <x:c r="C8" s="52" t="n">
        <x:f>SUMIF('Dane scalone'!$A$5:$A$104,A8,'Dane scalone'!$F$5:$F$104)</x:f>
        <x:v>144</x:v>
      </x:c>
      <x:c r="D8" s="52" t="n">
        <x:f>SUMIF('Dane scalone'!$A$5:$A$104,A8,'Dane scalone'!$G$5:$G$104)</x:f>
        <x:v>4</x:v>
      </x:c>
      <x:c r="E8" s="55" t="n">
        <x:f>IFERROR(D8/B8,0)</x:f>
        <x:v>0.02702702702702703</x:v>
      </x:c>
      <x:c r="F8" s="52" t="n">
        <x:f>SUMIF('Dane scalone'!$A$5:$A$104,A8,'Dane scalone'!$H$5:$H$104)</x:f>
        <x:v>1024</x:v>
      </x:c>
      <x:c r="G8" s="62" t="n">
        <x:f>SUMIF('Dane scalone'!$A$5:$A$104,A8,'Dane scalone'!$J$5:$J$104)-SUMIF('Dane scalone'!$A$5:$A$104,A8,'Dane scalone'!$I$5:$I$104)</x:f>
        <x:v>33900</x:v>
      </x:c>
    </x:row>
    <x:row r="9">
      <x:c r="A9" s="50" t="n">
        <x:v>46171</x:v>
      </x:c>
      <x:c r="B9" s="53" t="n">
        <x:f>SUMIF('Dane scalone'!$A$5:$A$104,A9,'Dane scalone'!$E$5:$E$104)</x:f>
        <x:v>0</x:v>
      </x:c>
      <x:c r="C9" s="53" t="n">
        <x:f>SUMIF('Dane scalone'!$A$5:$A$104,A9,'Dane scalone'!$F$5:$F$104)</x:f>
        <x:v>0</x:v>
      </x:c>
      <x:c r="D9" s="53" t="n">
        <x:f>SUMIF('Dane scalone'!$A$5:$A$104,A9,'Dane scalone'!$G$5:$G$104)</x:f>
        <x:v>0</x:v>
      </x:c>
      <x:c r="E9" s="46" t="n">
        <x:f>IFERROR(D9/B9,0)</x:f>
        <x:v>0</x:v>
      </x:c>
      <x:c r="F9" s="53" t="n">
        <x:f>SUMIF('Dane scalone'!$A$5:$A$104,A9,'Dane scalone'!$H$5:$H$104)</x:f>
        <x:v>0</x:v>
      </x:c>
      <x:c r="G9" s="64" t="n">
        <x:f>SUMIF('Dane scalone'!$A$5:$A$104,A9,'Dane scalone'!$J$5:$J$104)-SUMIF('Dane scalone'!$A$5:$A$104,A9,'Dane scalone'!$I$5:$I$104)</x:f>
        <x:v>0</x:v>
      </x:c>
    </x:row>
  </x:sheetData>
  <x:mergeCells>
    <x:mergeCell ref="A1:G1"/>
    <x:mergeCell ref="A2:J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18.75" hidden="0" customWidth="1"/>
    <x:col min="3" max="3" width="16.25" hidden="0" customWidth="1"/>
    <x:col min="4" max="4" width="20" hidden="0" customWidth="1"/>
    <x:col min="5" max="5" width="41.25" hidden="0" customWidth="1"/>
  </x:cols>
  <x:sheetData>
    <x:row r="1">
      <x:c r="A1" s="4" t="str">
        <x:v>Alerty</x:v>
      </x:c>
      <x:c r="B1" s="4"/>
      <x:c r="C1" s="4"/>
      <x:c r="D1" s="4"/>
      <x:c r="E1" s="4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6" t="str">
        <x:v>Lista obszarow wymagajacych uwagi.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13" t="str">
        <x:v>Typ alertu</x:v>
      </x:c>
      <x:c r="B4" s="13" t="str">
        <x:v>Brygada</x:v>
      </x:c>
      <x:c r="C4" s="13" t="str">
        <x:v>Wartosc</x:v>
      </x:c>
      <x:c r="D4" s="13" t="str">
        <x:v>Status</x:v>
      </x:c>
      <x:c r="E4" s="13" t="str">
        <x:v>Komentarz</x:v>
      </x:c>
    </x:row>
    <x:row r="5">
      <x:c r="A5" s="47" t="str">
        <x:v>Opoznienia</x:v>
      </x:c>
      <x:c r="B5" s="17" t="str">
        <x:v>Brygada A</x:v>
      </x:c>
      <x:c r="C5" s="54" t="n">
        <x:f>'KPI brygad'!F5</x:f>
        <x:v>0.03825136612021858</x:v>
      </x:c>
      <x:c r="D5" s="17" t="str">
        <x:f>IF(C5&gt;Ustawienia!$C$17,"Sprawdz","OK")</x:f>
        <x:v>OK</x:v>
      </x:c>
      <x:c r="E5" s="19" t="str">
        <x:v>Delay % powyzej progu z Ustawienia</x:v>
      </x:c>
    </x:row>
    <x:row r="6">
      <x:c r="A6" s="24" t="str">
        <x:v>Opoznienia</x:v>
      </x:c>
      <x:c r="B6" s="21" t="str">
        <x:v>Brygada B</x:v>
      </x:c>
      <x:c r="C6" s="55" t="n">
        <x:f>'KPI brygad'!F6</x:f>
        <x:v>0.07792207792207792</x:v>
      </x:c>
      <x:c r="D6" s="21" t="str">
        <x:f>IF(C6&gt;Ustawienia!$C$17,"Sprawdz","OK")</x:f>
        <x:v>OK</x:v>
      </x:c>
      <x:c r="E6" s="23" t="str">
        <x:v>Delay % powyzej progu z Ustawienia</x:v>
      </x:c>
    </x:row>
    <x:row r="7">
      <x:c r="A7" s="24" t="str">
        <x:v>Opoznienia</x:v>
      </x:c>
      <x:c r="B7" s="21" t="str">
        <x:v>Brygada C</x:v>
      </x:c>
      <x:c r="C7" s="55" t="n">
        <x:f>'KPI brygad'!F7</x:f>
        <x:v>0.04090909090909091</x:v>
      </x:c>
      <x:c r="D7" s="21" t="str">
        <x:f>IF(C7&gt;Ustawienia!$C$17,"Sprawdz","OK")</x:f>
        <x:v>OK</x:v>
      </x:c>
      <x:c r="E7" s="23" t="str">
        <x:v>Delay % powyzej progu z Ustawienia</x:v>
      </x:c>
    </x:row>
    <x:row r="8">
      <x:c r="A8" s="25" t="str">
        <x:v>Model</x:v>
      </x:c>
      <x:c r="B8" s="26" t="str">
        <x:v>Wszystkie</x:v>
      </x:c>
      <x:c r="C8" s="26" t="n">
        <x:f>COUNTA('Dane scalone'!A5:A104)</x:f>
        <x:v>12</x:v>
      </x:c>
      <x:c r="D8" s="26" t="str">
        <x:f>IF(C8&gt;0,"OK","Brak danych")</x:f>
        <x:v>OK</x:v>
      </x:c>
      <x:c r="E8" s="27" t="str">
        <x:v>Sprawdz czy dane surowe sa aktualne</x:v>
      </x:c>
    </x:row>
  </x:sheetData>
  <x:mergeCells>
    <x:mergeCell ref="A1:E1"/>
    <x:mergeCell ref="A2:J2"/>
  </x:mergeCells>
  <x:conditionalFormatting sqref="D5:D8">
    <x:cfRule type="containsText" dxfId="1" priority="1" operator="containsText" text="OK"/>
    <x:cfRule type="containsText" dxfId="2" priority="2" operator="containsText" text="Sprawdz"/>
  </x:conditionalFormatting>
  <x:pageMargins left="0.7" right="0.7" top="0.75" bottom="0.75" header="0.3" footer="0.3"/>
</x:worksheet>
</file>