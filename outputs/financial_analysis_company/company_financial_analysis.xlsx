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e1f50cc16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b97b331e29b4a31"/>
    <x:sheet xmlns:r="http://schemas.openxmlformats.org/officeDocument/2006/relationships" name="Assumptions" sheetId="2" r:id="R100bab3ceaad4857"/>
    <x:sheet xmlns:r="http://schemas.openxmlformats.org/officeDocument/2006/relationships" name="Historical Financials" sheetId="3" r:id="R3f537062344a40f8"/>
    <x:sheet xmlns:r="http://schemas.openxmlformats.org/officeDocument/2006/relationships" name="Forecast Model" sheetId="4" r:id="R62d81486595243ca"/>
    <x:sheet xmlns:r="http://schemas.openxmlformats.org/officeDocument/2006/relationships" name="DCF Valuation" sheetId="5" r:id="Re92ed8b89e404841"/>
    <x:sheet xmlns:r="http://schemas.openxmlformats.org/officeDocument/2006/relationships" name="Sensitivity" sheetId="6" r:id="R56a07d46e444422b"/>
    <x:sheet xmlns:r="http://schemas.openxmlformats.org/officeDocument/2006/relationships" name="Checks" sheetId="7" r:id="R84ff0d3c2f424b67"/>
    <x:sheet xmlns:r="http://schemas.openxmlformats.org/officeDocument/2006/relationships" name="Sources &amp; Audit" sheetId="8" r:id="R20a950781e8c4378"/>
  </x:sheets>
</x:workbook>
</file>

<file path=xl/comments1.xml><?xml version="1.0" encoding="utf-8"?>
<x:comments xmlns:x="http://schemas.openxmlformats.org/spreadsheetml/2006/main">
  <x:authors>
    <x:author>tc={B7D41FC9-2067-639C-8FE8-D41A8F888FE8}</x:author>
    <x:author>tc={D7F42CDC-2022-F2F3-3BA3-ED3D8DC0C217}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Input: replace ExampleCo Inc. with the target company's legal or reporting name.</x:t>
        </x:r>
      </x:text>
    </x:comment>
    <x:comment ref="B2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Input: replace WACC with a company-specific estimate from market data or cost of capital analysis.</x:t>
        </x:r>
      </x:text>
    </x:comment>
  </x:commentList>
</x:comments>
</file>

<file path=xl/comments2.xml><?xml version="1.0" encoding="utf-8"?>
<x:comments xmlns:x="http://schemas.openxmlformats.org/spreadsheetml/2006/main">
  <x:authors>
    <x:author>tc={B191AAF4-B811-0A07-7CFB-3B1791B463BA}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Placeholder: replace historical values with company reported financials and cite the filing in Sources &amp; Audit.</x:t>
        </x:r>
      </x:text>
    </x:comment>
  </x:commentList>
</x:comments>
</file>

<file path=xl/comments3.xml><?xml version="1.0" encoding="utf-8"?>
<x:comments xmlns:x="http://schemas.openxmlformats.org/spreadsheetml/2006/main">
  <x:authors>
    <x:author>tc={8A42FB82-22AD-9603-2E41-4A978BD2CF59}</x:author>
  </x:authors>
  <x:commentList>
    <x:comment ref="F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Add the plain-text URL for the relevant filing or source.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%;[Red](0.0%);-"/>
    <x:numFmt numFmtId="202" formatCode="0.0x;[Red](0.0x);-"/>
    <x:numFmt numFmtId="203" formatCode="$#,##0;[Red]($#,##0);-"/>
    <x:numFmt numFmtId="204" formatCode="#,##0;[Red](#,##0);-"/>
    <x:numFmt numFmtId="205" formatCode="0.000x"/>
    <x:numFmt numFmtId="206" formatCode="$0.00;[Red]($0.00);-"/>
  </x:numFmts>
  <x:fonts count="12">
    <x:font>
      <x:sz val="11"/>
      <x:name val="Carlito"/>
    </x:font>
    <x:font>
      <x:sz val="10"/>
      <x:color rgb="FF111827"/>
      <x:name val="Aptos"/>
    </x:font>
    <x:font>
      <x:b/>
      <x:sz val="16"/>
      <x:color rgb="FFFFFFFF"/>
      <x:name val="Aptos"/>
    </x:font>
    <x:font>
      <x:i/>
      <x:sz val="10"/>
      <x:color rgb="FF64748B"/>
      <x:name val="Carlito"/>
    </x:font>
    <x:font>
      <x:b/>
      <x:sz val="11"/>
      <x:color rgb="FFFFFFFF"/>
      <x:name val="Carlito"/>
    </x:font>
    <x:font>
      <x:b/>
      <x:sz val="11"/>
      <x:color rgb="FF0000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64748B"/>
      <x:name val="Carlito"/>
    </x:font>
    <x:font>
      <x:sz val="11"/>
      <x:color rgb="FF008000"/>
      <x:name val="Carlito"/>
    </x:font>
    <x:font>
      <x:b/>
      <x:sz val="11"/>
      <x:color rgb="FF64748B"/>
      <x:name val="Carlito"/>
    </x:font>
    <x:font>
      <x:b/>
      <x:sz val="12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9FC"/>
      </x:patternFill>
    </x:fill>
    <x:fill>
      <x:patternFill patternType="solid">
        <x:fgColor rgb="FF0F766E"/>
      </x:patternFill>
    </x:fill>
    <x:fill>
      <x:patternFill patternType="solid">
        <x:fgColor rgb="FFFFF7D6"/>
      </x:patternFill>
    </x:fill>
    <x:fill>
      <x:patternFill patternType="solid">
        <x:fgColor rgb="FFFFFFFF"/>
      </x:patternFill>
    </x:fill>
  </x:fills>
  <x:borders count="10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6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200" fontId="6" fillId="5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8" xfId="0" applyNumberFormat="1" applyFont="1" applyFill="1" applyBorder="1"/>
    <x:xf numFmtId="0" fontId="6" fillId="5" borderId="2" xfId="0" applyNumberFormat="1" applyFont="1" applyFill="1" applyBorder="1"/>
    <x:xf numFmtId="0" fontId="6" fillId="5" borderId="5" xfId="0" applyNumberFormat="1" applyFont="1" applyFill="1" applyBorder="1"/>
    <x:xf numFmtId="0" fontId="6" fillId="5" borderId="8" xfId="0" applyNumberFormat="1" applyFont="1" applyFill="1" applyBorder="1"/>
    <x:xf numFmtId="0" fontId="0" fillId="5" borderId="3" xfId="0" applyNumberFormat="1" applyFont="1" applyFill="1" applyBorder="1"/>
    <x:xf numFmtId="0" fontId="0" fillId="5" borderId="6" xfId="0" applyNumberFormat="1" applyFont="1" applyFill="1" applyBorder="1"/>
    <x:xf numFmtId="0" fontId="0" fillId="5" borderId="9" xfId="0" applyNumberFormat="1" applyFont="1" applyFill="1" applyBorder="1"/>
    <x:xf numFmtId="0" fontId="6" fillId="5" borderId="3" xfId="0" applyNumberFormat="1" applyFont="1" applyFill="1" applyBorder="1"/>
    <x:xf numFmtId="0" fontId="6" fillId="5" borderId="6" xfId="0" applyNumberFormat="1" applyFont="1" applyFill="1" applyBorder="1"/>
    <x:xf numFmtId="0" fontId="6" fillId="5" borderId="9" xfId="0" applyNumberFormat="1" applyFont="1" applyFill="1" applyBorder="1"/>
    <x:xf numFmtId="201" fontId="6" fillId="5" borderId="2" xfId="0" applyNumberFormat="1" applyFont="1" applyFill="1" applyBorder="1"/>
    <x:xf numFmtId="201" fontId="0" fillId="6" borderId="2" xfId="0" applyNumberFormat="1" applyFont="1" applyFill="1" applyBorder="1"/>
    <x:xf numFmtId="201" fontId="6" fillId="5" borderId="3" xfId="0" applyNumberFormat="1" applyFont="1" applyFill="1" applyBorder="1"/>
    <x:xf numFmtId="201" fontId="6" fillId="5" borderId="5" xfId="0" applyNumberFormat="1" applyFont="1" applyFill="1" applyBorder="1"/>
    <x:xf numFmtId="201" fontId="0" fillId="6" borderId="5" xfId="0" applyNumberFormat="1" applyFont="1" applyFill="1" applyBorder="1"/>
    <x:xf numFmtId="201" fontId="6" fillId="5" borderId="6" xfId="0" applyNumberFormat="1" applyFont="1" applyFill="1" applyBorder="1"/>
    <x:xf numFmtId="201" fontId="6" fillId="5" borderId="8" xfId="0" applyNumberFormat="1" applyFont="1" applyFill="1" applyBorder="1"/>
    <x:xf numFmtId="201" fontId="0" fillId="6" borderId="8" xfId="0" applyNumberFormat="1" applyFont="1" applyFill="1" applyBorder="1"/>
    <x:xf numFmtId="201" fontId="6" fillId="5" borderId="9" xfId="0" applyNumberFormat="1" applyFont="1" applyFill="1" applyBorder="1"/>
    <x:xf numFmtId="202" fontId="6" fillId="5" borderId="5" xfId="0" applyNumberFormat="1" applyFont="1" applyFill="1" applyBorder="1"/>
    <x:xf numFmtId="203" fontId="6" fillId="5" borderId="5" xfId="0" applyNumberFormat="1" applyFont="1" applyFill="1" applyBorder="1"/>
    <x:xf numFmtId="204" fontId="6" fillId="5" borderId="5" xfId="0" applyNumberFormat="1" applyFont="1" applyFill="1" applyBorder="1"/>
    <x:xf numFmtId="0" fontId="7" fillId="5" borderId="5" xfId="0" applyNumberFormat="1" applyFont="1" applyFill="1" applyBorder="1"/>
    <x:xf numFmtId="0" fontId="7" fillId="6" borderId="5" xfId="0" applyNumberFormat="1" applyFont="1" applyFill="1" applyBorder="1"/>
    <x:xf numFmtId="203" fontId="6" fillId="5" borderId="2" xfId="0" applyNumberFormat="1" applyFont="1" applyFill="1" applyBorder="1"/>
    <x:xf numFmtId="203" fontId="7" fillId="5" borderId="5" xfId="0" applyNumberFormat="1" applyFont="1" applyFill="1" applyBorder="1"/>
    <x:xf numFmtId="203" fontId="7" fillId="6" borderId="5" xfId="0" applyNumberFormat="1" applyFont="1" applyFill="1" applyBorder="1"/>
    <x:xf numFmtId="203" fontId="0" fillId="6" borderId="5" xfId="0" applyNumberFormat="1" applyFont="1" applyFill="1" applyBorder="1"/>
    <x:xf numFmtId="203" fontId="0" fillId="6" borderId="8" xfId="0" applyNumberFormat="1" applyFont="1" applyFill="1" applyBorder="1"/>
    <x:xf numFmtId="204" fontId="0" fillId="6" borderId="8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7" fillId="6" borderId="2" xfId="0" applyNumberFormat="1" applyFont="1" applyFill="1" applyBorder="1"/>
    <x:xf numFmtId="0" fontId="7" fillId="6" borderId="8" xfId="0" applyNumberFormat="1" applyFont="1" applyFill="1" applyBorder="1"/>
    <x:xf numFmtId="201" fontId="7" fillId="6" borderId="2" xfId="0" applyNumberFormat="1" applyFont="1" applyFill="1" applyBorder="1"/>
    <x:xf numFmtId="201" fontId="7" fillId="6" borderId="5" xfId="0" applyNumberFormat="1" applyFont="1" applyFill="1" applyBorder="1"/>
    <x:xf numFmtId="201" fontId="7" fillId="6" borderId="8" xfId="0" applyNumberFormat="1" applyFont="1" applyFill="1" applyBorder="1"/>
    <x:xf numFmtId="0" fontId="9" fillId="6" borderId="2" xfId="0" applyNumberFormat="1" applyFont="1" applyFill="1" applyBorder="1"/>
    <x:xf numFmtId="0" fontId="9" fillId="6" borderId="5" xfId="0" applyNumberFormat="1" applyFont="1" applyFill="1" applyBorder="1"/>
    <x:xf numFmtId="0" fontId="9" fillId="6" borderId="8" xfId="0" applyNumberFormat="1" applyFont="1" applyFill="1" applyBorder="1"/>
    <x:xf numFmtId="203" fontId="9" fillId="6" borderId="2" xfId="0" applyNumberFormat="1" applyFont="1" applyFill="1" applyBorder="1"/>
    <x:xf numFmtId="203" fontId="7" fillId="6" borderId="2" xfId="0" applyNumberFormat="1" applyFont="1" applyFill="1" applyBorder="1"/>
    <x:xf numFmtId="203" fontId="9" fillId="6" borderId="5" xfId="0" applyNumberFormat="1" applyFont="1" applyFill="1" applyBorder="1"/>
    <x:xf numFmtId="203" fontId="9" fillId="6" borderId="8" xfId="0" applyNumberFormat="1" applyFont="1" applyFill="1" applyBorder="1"/>
    <x:xf numFmtId="203" fontId="7" fillId="6" borderId="8" xfId="0" applyNumberFormat="1" applyFont="1" applyFill="1" applyBorder="1"/>
    <x:xf numFmtId="201" fontId="9" fillId="6" borderId="5" xfId="0" applyNumberFormat="1" applyFont="1" applyFill="1" applyBorder="1"/>
    <x:xf numFmtId="203" fontId="0" fillId="6" borderId="2" xfId="0" applyNumberFormat="1" applyFont="1" applyFill="1" applyBorder="1"/>
    <x:xf numFmtId="205" fontId="7" fillId="6" borderId="5" xfId="0" applyNumberFormat="1" applyFont="1" applyFill="1" applyBorder="1"/>
    <x:xf numFmtId="204" fontId="7" fillId="6" borderId="5" xfId="0" applyNumberFormat="1" applyFont="1" applyFill="1" applyBorder="1"/>
    <x:xf numFmtId="206" fontId="7" fillId="6" borderId="5" xfId="0" applyNumberFormat="1" applyFont="1" applyFill="1" applyBorder="1"/>
    <x:xf numFmtId="202" fontId="7" fillId="6" borderId="5" xfId="0" applyNumberFormat="1" applyFont="1" applyFill="1" applyBorder="1"/>
    <x:xf numFmtId="201" fontId="0" fillId="6" borderId="1" xfId="0" applyNumberFormat="1" applyFont="1" applyFill="1" applyBorder="1"/>
    <x:xf numFmtId="201" fontId="0" fillId="6" borderId="4" xfId="0" applyNumberFormat="1" applyFont="1" applyFill="1" applyBorder="1"/>
    <x:xf numFmtId="201" fontId="0" fillId="6" borderId="7" xfId="0" applyNumberFormat="1" applyFont="1" applyFill="1" applyBorder="1"/>
    <x:xf numFmtId="201" fontId="4" fillId="2" borderId="0" xfId="0" applyNumberFormat="1" applyFont="1" applyFill="1" applyBorder="1" applyAlignment="1">
      <x:alignment horizontal="center" vertical="center" wrapText="1"/>
    </x:xf>
    <x:xf numFmtId="206" fontId="0" fillId="6" borderId="2" xfId="0" applyNumberFormat="1" applyFont="1" applyFill="1" applyBorder="1"/>
    <x:xf numFmtId="206" fontId="0" fillId="6" borderId="3" xfId="0" applyNumberFormat="1" applyFont="1" applyFill="1" applyBorder="1"/>
    <x:xf numFmtId="206" fontId="0" fillId="6" borderId="5" xfId="0" applyNumberFormat="1" applyFont="1" applyFill="1" applyBorder="1"/>
    <x:xf numFmtId="206" fontId="0" fillId="6" borderId="6" xfId="0" applyNumberFormat="1" applyFont="1" applyFill="1" applyBorder="1"/>
    <x:xf numFmtId="206" fontId="0" fillId="6" borderId="8" xfId="0" applyNumberFormat="1" applyFont="1" applyFill="1" applyBorder="1"/>
    <x:xf numFmtId="206" fontId="0" fillId="6" borderId="9" xfId="0" applyNumberFormat="1" applyFont="1" applyFill="1" applyBorder="1"/>
    <x:xf numFmtId="206" fontId="7" fillId="6" borderId="2" xfId="0" applyNumberFormat="1" applyFont="1" applyFill="1" applyBorder="1"/>
    <x:xf numFmtId="206" fontId="7" fillId="6" borderId="3" xfId="0" applyNumberFormat="1" applyFont="1" applyFill="1" applyBorder="1"/>
    <x:xf numFmtId="206" fontId="7" fillId="6" borderId="6" xfId="0" applyNumberFormat="1" applyFont="1" applyFill="1" applyBorder="1"/>
    <x:xf numFmtId="206" fontId="7" fillId="6" borderId="8" xfId="0" applyNumberFormat="1" applyFont="1" applyFill="1" applyBorder="1"/>
    <x:xf numFmtId="206" fontId="7" fillId="6" borderId="9" xfId="0" applyNumberFormat="1" applyFont="1" applyFill="1" applyBorder="1"/>
    <x:xf numFmtId="0" fontId="7" fillId="6" borderId="6" xfId="0" applyNumberFormat="1" applyFont="1" applyFill="1" applyBorder="1"/>
    <x:xf numFmtId="204" fontId="7" fillId="6" borderId="2" xfId="0" applyNumberFormat="1" applyFont="1" applyFill="1" applyBorder="1"/>
    <x:xf numFmtId="204" fontId="7" fillId="6" borderId="8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3" borderId="0" xfId="0" applyNumberFormat="1" applyFont="1" applyFill="1" applyBorder="1"/>
    <x:xf numFmtId="0" fontId="0" fillId="3" borderId="1" xfId="0" applyNumberFormat="1" applyFont="1" applyFill="1" applyBorder="1"/>
    <x:xf numFmtId="0" fontId="9" fillId="3" borderId="2" xfId="0" applyNumberFormat="1" applyFont="1" applyFill="1" applyBorder="1"/>
    <x:xf numFmtId="0" fontId="9" fillId="3" borderId="3" xfId="0" applyNumberFormat="1" applyFont="1" applyFill="1" applyBorder="1"/>
    <x:xf numFmtId="0" fontId="0" fillId="3" borderId="4" xfId="0" applyNumberFormat="1" applyFont="1" applyFill="1" applyBorder="1"/>
    <x:xf numFmtId="0" fontId="9" fillId="3" borderId="5" xfId="0" applyNumberFormat="1" applyFont="1" applyFill="1" applyBorder="1"/>
    <x:xf numFmtId="0" fontId="9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9" fillId="3" borderId="2" xfId="0" applyNumberFormat="1" applyFont="1" applyFill="1" applyBorder="1" applyAlignment="1">
      <x:alignment wrapText="1"/>
    </x:xf>
    <x:xf numFmtId="0" fontId="9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wrapText="1"/>
    </x:xf>
    <x:xf numFmtId="0" fontId="9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10" fillId="3" borderId="2" xfId="0" applyNumberFormat="1" applyFont="1" applyFill="1" applyBorder="1" applyAlignment="1">
      <x:alignment wrapText="1"/>
    </x:xf>
    <x:xf numFmtId="0" fontId="10" fillId="3" borderId="3" xfId="0" applyNumberFormat="1" applyFont="1" applyFill="1" applyBorder="1" applyAlignment="1">
      <x:alignment wrapText="1"/>
    </x:xf>
    <x:xf numFmtId="0" fontId="10" fillId="3" borderId="4" xfId="0" applyNumberFormat="1" applyFont="1" applyFill="1" applyBorder="1" applyAlignment="1">
      <x:alignment wrapText="1"/>
    </x:xf>
    <x:xf numFmtId="0" fontId="10" fillId="3" borderId="5" xfId="0" applyNumberFormat="1" applyFont="1" applyFill="1" applyBorder="1" applyAlignment="1">
      <x:alignment wrapText="1"/>
    </x:xf>
    <x:xf numFmtId="0" fontId="10" fillId="3" borderId="6" xfId="0" applyNumberFormat="1" applyFont="1" applyFill="1" applyBorder="1" applyAlignment="1">
      <x:alignment wrapText="1"/>
    </x:xf>
    <x:xf numFmtId="0" fontId="11" fillId="3" borderId="2" xfId="0" applyNumberFormat="1" applyFont="1" applyFill="1" applyBorder="1" applyAlignment="1">
      <x:alignment wrapText="1"/>
    </x:xf>
    <x:xf numFmtId="0" fontId="11" fillId="3" borderId="3" xfId="0" applyNumberFormat="1" applyFont="1" applyFill="1" applyBorder="1" applyAlignment="1">
      <x:alignment wrapText="1"/>
    </x:xf>
    <x:xf numFmtId="0" fontId="11" fillId="3" borderId="5" xfId="0" applyNumberFormat="1" applyFont="1" applyFill="1" applyBorder="1" applyAlignment="1">
      <x:alignment wrapText="1"/>
    </x:xf>
    <x:xf numFmtId="0" fontId="11" fillId="3" borderId="6" xfId="0" applyNumberFormat="1" applyFont="1" applyFill="1" applyBorder="1" applyAlignment="1">
      <x:alignment wrapText="1"/>
    </x:xf>
    <x:xf numFmtId="203" fontId="11" fillId="3" borderId="2" xfId="0" applyNumberFormat="1" applyFont="1" applyFill="1" applyBorder="1" applyAlignment="1">
      <x:alignment wrapText="1"/>
    </x:xf>
    <x:xf numFmtId="206" fontId="11" fillId="3" borderId="3" xfId="0" applyNumberFormat="1" applyFont="1" applyFill="1" applyBorder="1" applyAlignment="1">
      <x:alignment wrapText="1"/>
    </x:xf>
    <x:xf numFmtId="201" fontId="11" fillId="3" borderId="5" xfId="0" applyNumberFormat="1" applyFont="1" applyFill="1" applyBorder="1" applyAlignment="1">
      <x:alignment wrapText="1"/>
    </x:xf>
    <x:xf numFmtId="202" fontId="11" fillId="3" borderId="6" xfId="0" applyNumberFormat="1" applyFont="1" applyFill="1" applyBorder="1" applyAlignment="1">
      <x:alignment wrapText="1"/>
    </x:xf>
    <x:xf numFmtId="203" fontId="0" fillId="6" borderId="3" xfId="0" applyNumberFormat="1" applyFont="1" applyFill="1" applyBorder="1"/>
    <x:xf numFmtId="203" fontId="0" fillId="6" borderId="6" xfId="0" applyNumberFormat="1" applyFont="1" applyFill="1" applyBorder="1"/>
    <x:xf numFmtId="203" fontId="0" fillId="6" borderId="9" xfId="0" applyNumberFormat="1" applyFont="1" applyFill="1" applyBorder="1"/>
  </x:cellXfs>
  <x:cellStyles count="1">
    <x:cellStyle name="Normal" xfId="0"/>
  </x:cellStyles>
  <x:dxfs count="4">
    <x:dxf>
      <x:font>
        <x:b/>
        <x:color rgb="FF16803C"/>
      </x:font>
      <x:fill>
        <x:patternFill patternType="solid">
          <x:bgColor rgb="FFE7F5F1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6803C"/>
      </x:font>
      <x:fill>
        <x:patternFill patternType="solid">
          <x:bgColor rgb="FFE7F5F1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697bd1489480e" /><Relationship Type="http://schemas.openxmlformats.org/officeDocument/2006/relationships/theme" Target="/xl/theme/theme1.xml" Id="R7740695602234555" /><Relationship Type="http://schemas.openxmlformats.org/officeDocument/2006/relationships/sharedStrings" Target="/xl/sharedStrings.xml" Id="R445f9acd269e4a08" /><Relationship Type="http://schemas.openxmlformats.org/officeDocument/2006/relationships/worksheet" Target="/xl/worksheets/sheet1.xml" Id="Rdb97b331e29b4a31" /><Relationship Type="http://schemas.openxmlformats.org/officeDocument/2006/relationships/worksheet" Target="/xl/worksheets/sheet2.xml" Id="R100bab3ceaad4857" /><Relationship Type="http://schemas.openxmlformats.org/officeDocument/2006/relationships/worksheet" Target="/xl/worksheets/sheet3.xml" Id="R3f537062344a40f8" /><Relationship Type="http://schemas.openxmlformats.org/officeDocument/2006/relationships/worksheet" Target="/xl/worksheets/sheet4.xml" Id="R62d81486595243ca" /><Relationship Type="http://schemas.openxmlformats.org/officeDocument/2006/relationships/worksheet" Target="/xl/worksheets/sheet5.xml" Id="Re92ed8b89e404841" /><Relationship Type="http://schemas.openxmlformats.org/officeDocument/2006/relationships/worksheet" Target="/xl/worksheets/sheet6.xml" Id="R56a07d46e444422b" /><Relationship Type="http://schemas.openxmlformats.org/officeDocument/2006/relationships/worksheet" Target="/xl/worksheets/sheet7.xml" Id="R84ff0d3c2f424b67" /><Relationship Type="http://schemas.openxmlformats.org/officeDocument/2006/relationships/worksheet" Target="/xl/worksheets/sheet8.xml" Id="R20a950781e8c4378" /><Relationship Type="http://schemas.microsoft.com/office/2017/10/relationships/person" Target="/xl/persons/person.xml" Id="Ra95b15e9c2ca4f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3de1842f1c4c95" /><Relationship Type="http://schemas.openxmlformats.org/officeDocument/2006/relationships/chart" Target="/xl/drawings/charts/chart2.xml" Id="R9dd6bc5abef242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Revenue, EBITDA, and FCF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'Dashboard'!$A$13:$A$18</c:f>
              <c:strCache>
                <c:ptCount val="0"/>
              </c:strCache>
            </c:strRef>
          </c:cat>
          <c:val>
            <c:numRef>
              <c:f>'Dashboard'!$B$13:$B$18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cat>
            <c:strRef>
              <c:f>'Dashboard'!$A$13:$A$18</c:f>
              <c:strCache>
                <c:ptCount val="0"/>
              </c:strCache>
            </c:strRef>
          </c:cat>
          <c:val>
            <c:numRef>
              <c:f>'Dashboard'!$C$13:$C$18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Unlevered FCF</c:v>
          </c:tx>
          <c:cat>
            <c:strRef>
              <c:f>'Dashboard'!$A$13:$A$18</c:f>
              <c:strCache>
                <c:ptCount val="0"/>
              </c:strCache>
            </c:strRef>
          </c:cat>
          <c:val>
            <c:numRef>
              <c:f>'Dashboard'!$D$13:$D$18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Equity Value Bridge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'Dashboard'!$A$23:$A$28</c:f>
              <c:strCache>
                <c:ptCount val="0"/>
              </c:strCache>
            </c:strRef>
          </c:cat>
          <c:val>
            <c:numRef>
              <c:f>'Dashboard'!$B$23:$B$28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3de1842f1c4c95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d6bc5abef2424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hatGPT" id="{A3562812-3B76-4B35-B929-10FDF530E3BA}"/>
</xltc:personList>
</file>

<file path=xl/tables/table1.xml><?xml version="1.0" encoding="utf-8"?>
<x:table xmlns:x="http://schemas.openxmlformats.org/spreadsheetml/2006/main" id="1" name="HistoricalFinancials" displayName="HistoricalFinancials" ref="A5:H20" headerRowCount="1">
  <x:tableColumns count="8">
    <x:tableColumn id="1" name="Metric ($mm except per-share)"/>
    <x:tableColumn id="2" name="2022A"/>
    <x:tableColumn id="3" name="2023A"/>
    <x:tableColumn id="4" name="2024A"/>
    <x:tableColumn id="5" name="2025A"/>
    <x:tableColumn id="6" name="2026A"/>
    <x:tableColumn id="7" name="Source ID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orecastModel" displayName="ForecastModel" ref="A5:I22" headerRowCount="1">
  <x:tableColumns count="9">
    <x:tableColumn id="1" name="Metric ($mm)"/>
    <x:tableColumn id="2" name="2026A"/>
    <x:tableColumn id="3" name="2027E"/>
    <x:tableColumn id="4" name="2028E"/>
    <x:tableColumn id="5" name="2029E"/>
    <x:tableColumn id="6" name="2030E"/>
    <x:tableColumn id="7" name="2031E"/>
    <x:tableColumn id="8" name="Formula / Source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ourcesAudit" displayName="SourcesAudit" ref="A4:G11" headerRowCount="1">
  <x:tableColumns count="7">
    <x:tableColumn id="1" name="Source ID"/>
    <x:tableColumn id="2" name="Item"/>
    <x:tableColumn id="3" name="Period / As Of"/>
    <x:tableColumn id="4" name="Units"/>
    <x:tableColumn id="5" name="Source Name"/>
    <x:tableColumn id="6" name="Plain-Text URL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5-31T17:56:49.31" personId="{A3562812-3B76-4B35-B929-10FDF530E3BA}" id="{B7D41FC9-2067-639C-8FE8-D41A8F888FE8}">
    <xltc:text>Input: replace ExampleCo Inc. with the target company's legal or reporting name.</xltc:text>
  </xltc:threadedComment>
  <xltc:threadedComment ref="B29" dT="2026-05-31T17:56:49.311" personId="{A3562812-3B76-4B35-B929-10FDF530E3BA}" id="{D7F42CDC-2022-F2F3-3BA3-ED3D8DC0C217}">
    <xltc:text>Input: replace WACC with a company-specific estimate from market data or cost of capital analysis.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6" dT="2026-05-31T17:56:49.311" personId="{A3562812-3B76-4B35-B929-10FDF530E3BA}" id="{B191AAF4-B811-0A07-7CFB-3B1791B463BA}">
    <xltc:text>Placeholder: replace historical values with company reported financials and cite the filing in Sources &amp; Audit.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F5" dT="2026-05-31T17:56:49.311" personId="{A3562812-3B76-4B35-B929-10FDF530E3BA}" id="{8A42FB82-22AD-9603-2E41-4A978BD2CF59}">
    <xltc:text>Add the plain-text URL for the relevant filing or source.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28e74db51d48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fdfa7f3ee6e4270" /><Relationship Type="http://schemas.openxmlformats.org/officeDocument/2006/relationships/vmlDrawing" Target="/xl/drawings/vmldrawing.vml" Id="Ra74565751b1c4cf7" /><Relationship Type="http://schemas.microsoft.com/office/2017/10/relationships/threadedComment" Target="/xl/threadedcomments/threadedcomment.xml" Id="R2bc9cd212d9842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b829292097c74ac9" /><Relationship Type="http://schemas.openxmlformats.org/officeDocument/2006/relationships/vmlDrawing" Target="/xl/drawings/vmldrawing2.vml" Id="Rdb4faef2874f49e2" /><Relationship Type="http://schemas.microsoft.com/office/2017/10/relationships/threadedComment" Target="/xl/threadedcomments/threadedcomment2.xml" Id="R95cc701c04d34ae3" /><Relationship Type="http://schemas.openxmlformats.org/officeDocument/2006/relationships/table" Target="/xl/tables/table1.xml" Id="Re59f174a58a04d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b9b915d0c0e42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3.xml" Id="Rdf97473ebaa44c56" /><Relationship Type="http://schemas.openxmlformats.org/officeDocument/2006/relationships/vmlDrawing" Target="/xl/drawings/vmldrawing3.vml" Id="R46f5f6acb0594b26" /><Relationship Type="http://schemas.microsoft.com/office/2017/10/relationships/threadedComment" Target="/xl/threadedcomments/threadedcomment3.xml" Id="Raddc09813c9949d9" /><Relationship Type="http://schemas.openxmlformats.org/officeDocument/2006/relationships/table" Target="/xl/tables/table3.xml" Id="Rd06712e5abc64c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5.630000114440918" hidden="0" customWidth="1"/>
    <x:col min="6" max="6" width="14.380000114440918" hidden="0" customWidth="1"/>
    <x:col min="7" max="7" width="16.8799991607666" hidden="0" customWidth="1"/>
    <x:col min="8" max="8" width="14.380000114440918" hidden="0" customWidth="1"/>
    <x:col min="9" max="9" width="16.8799991607666" hidden="0" customWidth="1"/>
    <x:col min="10" max="10" width="14.380000114440918" hidden="0" customWidth="1"/>
    <x:col min="11" max="11" width="19.3799991607666" hidden="0" customWidth="1"/>
    <x:col min="12" max="12" width="15" hidden="0" customWidth="1"/>
  </x:cols>
  <x:sheetData>
    <x:row r="1" ht="25.5" customHeight="1">
      <x:c r="A1" s="5" t="str">
        <x:v>Company Financial Analysis Dashboard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9" t="str">
        <x:v>Editable model template with illustrative data. Update Assumptions, Historical Financials, and Sources &amp; Audit for the target company.</x:v>
      </x:c>
      <x:c r="B2" s="9"/>
      <x:c r="C2" s="9"/>
      <x:c r="D2" s="9"/>
      <x:c r="E2" s="9"/>
      <x:c r="F2" s="9"/>
      <x:c r="G2" s="9"/>
      <x:c r="H2" s="9"/>
    </x:row>
    <x:row r="4">
      <x:c r="A4" s="13" t="str">
        <x:v>Executive KPIs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149" t="str">
        <x:v>Company</x:v>
      </x:c>
      <x:c r="B5" s="155" t="str">
        <x:f>Assumptions!B5</x:f>
        <x:v>ExampleCo Inc.</x:v>
      </x:c>
      <x:c r="C5" s="155" t="str">
        <x:v>Scenario</x:v>
      </x:c>
      <x:c r="D5" s="155" t="str">
        <x:f>Assumptions!B7</x:f>
        <x:v>Base Case</x:v>
      </x:c>
      <x:c r="E5" s="155" t="str">
        <x:v>Model Status</x:v>
      </x:c>
      <x:c r="F5" s="155" t="str">
        <x:f>Checks!E12</x:f>
        <x:v>OK</x:v>
      </x:c>
      <x:c r="G5" s="155" t="str">
        <x:v>Enterprise Value</x:v>
      </x:c>
      <x:c r="H5" s="159" t="n">
        <x:f>'DCF Valuation'!B14</x:f>
        <x:v>10381.629789348599</x:v>
      </x:c>
      <x:c r="I5" s="159" t="str">
        <x:v>Equity Value</x:v>
      </x:c>
      <x:c r="J5" s="159" t="n">
        <x:f>'DCF Valuation'!B19</x:f>
        <x:v>9996.629789348599</x:v>
      </x:c>
      <x:c r="K5" s="155" t="str">
        <x:v>Implied Share Price</x:v>
      </x:c>
      <x:c r="L5" s="160" t="n">
        <x:f>'DCF Valuation'!B21</x:f>
        <x:v>47.60299899689809</x:v>
      </x:c>
    </x:row>
    <x:row r="6">
      <x:c r="A6" s="143" t="str"/>
      <x:c r="B6" s="144" t="str"/>
      <x:c r="C6" s="144" t="str"/>
      <x:c r="D6" s="144" t="str"/>
      <x:c r="E6" s="144" t="str"/>
      <x:c r="F6" s="144" t="str"/>
      <x:c r="G6" s="144" t="str"/>
      <x:c r="H6" s="144" t="str"/>
      <x:c r="I6" s="144" t="str"/>
      <x:c r="J6" s="144" t="str"/>
      <x:c r="K6" s="144" t="str"/>
      <x:c r="L6" s="145" t="str"/>
    </x:row>
    <x:row r="7">
      <x:c r="A7" s="152" t="str">
        <x:v>Revenue CAGR 2026A-2031E</x:v>
      </x:c>
      <x:c r="B7" s="161" t="n">
        <x:f>('Forecast Model'!G6/'Forecast Model'!B6)^(1/5)-1</x:f>
        <x:v>0.06997663490176409</x:v>
      </x:c>
      <x:c r="C7" s="161" t="str">
        <x:v>EBITDA Margin 2031E</x:v>
      </x:c>
      <x:c r="D7" s="161" t="n">
        <x:f>'Forecast Model'!G15</x:f>
        <x:v>0.218</x:v>
      </x:c>
      <x:c r="E7" s="161" t="str">
        <x:v>FCF Margin 2031E</x:v>
      </x:c>
      <x:c r="F7" s="161" t="n">
        <x:f>'Forecast Model'!G22/'Forecast Model'!G6</x:f>
        <x:v>0.12240716981132074</x:v>
      </x:c>
      <x:c r="G7" s="161" t="str">
        <x:v>WACC</x:v>
      </x:c>
      <x:c r="H7" s="161" t="n">
        <x:f>Assumptions!B29</x:f>
        <x:v>0.095</x:v>
      </x:c>
      <x:c r="I7" s="161" t="str">
        <x:v>Terminal Growth</x:v>
      </x:c>
      <x:c r="J7" s="161" t="n">
        <x:f>Assumptions!G29</x:f>
        <x:v>0.025</x:v>
      </x:c>
      <x:c r="K7" s="157" t="str">
        <x:v>Exit EBITDA Multiple</x:v>
      </x:c>
      <x:c r="L7" s="162" t="n">
        <x:f>'DCF Valuation'!B22</x:f>
        <x:v>7.0451547252491675</x:v>
      </x:c>
    </x:row>
    <x:row r="8">
      <x:c r="A8" s="146" t="str"/>
      <x:c r="B8" s="147" t="str"/>
      <x:c r="C8" s="147" t="str"/>
      <x:c r="D8" s="147" t="str"/>
      <x:c r="E8" s="147" t="str"/>
      <x:c r="F8" s="147" t="str"/>
      <x:c r="G8" s="147" t="str"/>
      <x:c r="H8" s="147" t="str"/>
      <x:c r="I8" s="147" t="str"/>
      <x:c r="J8" s="147" t="str"/>
      <x:c r="K8" s="147" t="str"/>
      <x:c r="L8" s="148" t="str"/>
    </x:row>
    <x:row r="11">
      <x:c r="A11" s="13" t="str">
        <x:v>Revenue, EBITDA, and FCF Trend</x:v>
      </x:c>
      <x:c r="B11" s="13"/>
      <x:c r="C11" s="13"/>
      <x:c r="D11" s="13"/>
      <x:c r="E11" s="13"/>
      <x:c r="F11" s="13"/>
    </x:row>
    <x:row r="12">
      <x:c r="A12" s="26" t="str">
        <x:v>Year</x:v>
      </x:c>
      <x:c r="B12" s="26" t="str">
        <x:v>Revenue</x:v>
      </x:c>
      <x:c r="C12" s="26" t="str">
        <x:v>EBITDA</x:v>
      </x:c>
      <x:c r="D12" s="26" t="str">
        <x:v>Unlevered FCF</x:v>
      </x:c>
    </x:row>
    <x:row r="13">
      <x:c r="A13" s="28" t="str">
        <x:v>2026A</x:v>
      </x:c>
      <x:c r="B13" s="95" t="n">
        <x:f>'Forecast Model'!B6</x:f>
        <x:v>4820</x:v>
      </x:c>
      <x:c r="C13" s="95" t="n">
        <x:f>'Forecast Model'!B14</x:f>
        <x:v>1000</x:v>
      </x:c>
      <x:c r="D13" s="163" t="n">
        <x:f>'Forecast Model'!B22</x:f>
        <x:v>504</x:v>
      </x:c>
    </x:row>
    <x:row r="14">
      <x:c r="A14" s="31" t="str">
        <x:v>2027E</x:v>
      </x:c>
      <x:c r="B14" s="66" t="n">
        <x:f>'Forecast Model'!C6</x:f>
        <x:v>5205.6</x:v>
      </x:c>
      <x:c r="C14" s="66" t="n">
        <x:f>'Forecast Model'!C14</x:f>
        <x:v>884.9519999999999</x:v>
      </x:c>
      <x:c r="D14" s="164" t="n">
        <x:f>'Forecast Model'!C22</x:f>
        <x:v>369.3656799999998</x:v>
      </x:c>
    </x:row>
    <x:row r="15">
      <x:c r="A15" s="31" t="str">
        <x:v>2028E</x:v>
      </x:c>
      <x:c r="B15" s="66" t="n">
        <x:f>'Forecast Model'!D6</x:f>
        <x:v>5596.02</x:v>
      </x:c>
      <x:c r="C15" s="66" t="n">
        <x:f>'Forecast Model'!D14</x:f>
        <x:v>1018.4756399999999</x:v>
      </x:c>
      <x:c r="D15" s="164" t="n">
        <x:f>'Forecast Model'!D22</x:f>
        <x:v>498.42578879999985</x:v>
      </x:c>
    </x:row>
    <x:row r="16">
      <x:c r="A16" s="31" t="str">
        <x:v>2029E</x:v>
      </x:c>
      <x:c r="B16" s="66" t="n">
        <x:f>'Forecast Model'!E6</x:f>
        <x:v>5987.741400000001</x:v>
      </x:c>
      <x:c r="C16" s="66" t="n">
        <x:f>'Forecast Model'!E14</x:f>
        <x:v>1161.6218316000004</x:v>
      </x:c>
      <x:c r="D16" s="164" t="n">
        <x:f>'Forecast Model'!E22</x:f>
        <x:v>597.9380946120002</x:v>
      </x:c>
    </x:row>
    <x:row r="17">
      <x:c r="A17" s="31" t="str">
        <x:v>2030E</x:v>
      </x:c>
      <x:c r="B17" s="66" t="n">
        <x:f>'Forecast Model'!F6</x:f>
        <x:v>6376.944591</x:v>
      </x:c>
      <x:c r="C17" s="66" t="n">
        <x:f>'Forecast Model'!F14</x:f>
        <x:v>1313.6505857460002</x:v>
      </x:c>
      <x:c r="D17" s="164" t="n">
        <x:f>'Forecast Model'!F22</x:f>
        <x:v>705.5463470965202</x:v>
      </x:c>
    </x:row>
    <x:row r="18">
      <x:c r="A18" s="34" t="str">
        <x:v>2031E</x:v>
      </x:c>
      <x:c r="B18" s="67" t="n">
        <x:f>'Forecast Model'!G6</x:f>
        <x:v>6759.561266460001</x:v>
      </x:c>
      <x:c r="C18" s="67" t="n">
        <x:f>'Forecast Model'!G14</x:f>
        <x:v>1473.5843560882802</x:v>
      </x:c>
      <x:c r="D18" s="165" t="n">
        <x:f>'Forecast Model'!G22</x:f>
        <x:v>827.4187637935956</x:v>
      </x:c>
    </x:row>
    <x:row r="21">
      <x:c r="A21" s="13" t="str">
        <x:v>Valuation Bridge</x:v>
      </x:c>
      <x:c r="B21" s="13"/>
      <x:c r="C21" s="13"/>
      <x:c r="D21" s="13"/>
      <x:c r="E21" s="13"/>
      <x:c r="F21" s="13"/>
    </x:row>
    <x:row r="22">
      <x:c r="A22" s="26" t="str">
        <x:v>Bridge Item</x:v>
      </x:c>
      <x:c r="B22" s="26" t="str">
        <x:v>Value</x:v>
      </x:c>
      <x:c r="C22" s="26" t="str">
        <x:v>Notes</x:v>
      </x:c>
    </x:row>
    <x:row r="23">
      <x:c r="A23" s="28" t="str">
        <x:v>Enterprise Value</x:v>
      </x:c>
      <x:c r="B23" s="95" t="n">
        <x:f>'DCF Valuation'!B14</x:f>
        <x:v>10381.629789348599</x:v>
      </x:c>
      <x:c r="C23" s="30" t="str">
        <x:v>DCF enterprise value</x:v>
      </x:c>
    </x:row>
    <x:row r="24">
      <x:c r="A24" s="31" t="str">
        <x:v>Cash &amp; Equivalents</x:v>
      </x:c>
      <x:c r="B24" s="66" t="n">
        <x:f>'DCF Valuation'!B15</x:f>
        <x:v>520</x:v>
      </x:c>
      <x:c r="C24" s="33" t="str">
        <x:v>Add</x:v>
      </x:c>
    </x:row>
    <x:row r="25">
      <x:c r="A25" s="31" t="str">
        <x:v>Debt</x:v>
      </x:c>
      <x:c r="B25" s="66" t="n">
        <x:f>-'DCF Valuation'!B16</x:f>
        <x:v>-980</x:v>
      </x:c>
      <x:c r="C25" s="33" t="str">
        <x:v>Subtract</x:v>
      </x:c>
    </x:row>
    <x:row r="26">
      <x:c r="A26" s="31" t="str">
        <x:v>Minority Interest</x:v>
      </x:c>
      <x:c r="B26" s="66" t="n">
        <x:f>-'DCF Valuation'!B17</x:f>
        <x:v>0</x:v>
      </x:c>
      <x:c r="C26" s="33" t="str">
        <x:v>Subtract</x:v>
      </x:c>
    </x:row>
    <x:row r="27">
      <x:c r="A27" s="31" t="str">
        <x:v>Investments / Other Assets</x:v>
      </x:c>
      <x:c r="B27" s="66" t="n">
        <x:f>'DCF Valuation'!B18</x:f>
        <x:v>75</x:v>
      </x:c>
      <x:c r="C27" s="33" t="str">
        <x:v>Add</x:v>
      </x:c>
    </x:row>
    <x:row r="28">
      <x:c r="A28" s="34" t="str">
        <x:v>Equity Value</x:v>
      </x:c>
      <x:c r="B28" s="67" t="n">
        <x:f>'DCF Valuation'!B19</x:f>
        <x:v>9996.629789348599</x:v>
      </x:c>
      <x:c r="C28" s="36" t="str">
        <x:v>Bridge result</x:v>
      </x:c>
    </x:row>
  </x:sheetData>
  <x:mergeCells>
    <x:mergeCell ref="A1:L1"/>
    <x:mergeCell ref="A2:H2"/>
    <x:mergeCell ref="A4:L4"/>
    <x:mergeCell ref="A11:F11"/>
    <x:mergeCell ref="A21:F21"/>
  </x:mergeCells>
  <x:conditionalFormatting sqref="F5:F5">
    <x:cfRule type="containsText" dxfId="2" priority="1" operator="containsText" text="OK"/>
    <x:cfRule type="containsText" dxfId="3" priority="2" operator="containsText" text="Check"/>
  </x:conditionalFormatting>
  <x:pageMargins left="0.7" right="0.7" top="0.75" bottom="0.75" header="0.3" footer="0.3"/>
  <x:drawing xmlns:r="http://schemas.openxmlformats.org/officeDocument/2006/relationships" r:id="R3428e74db51d485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6.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7.5" hidden="0" customWidth="1"/>
    <x:col min="10" max="10" width="27.5" hidden="0" customWidth="1"/>
  </x:cols>
  <x:sheetData>
    <x:row r="1" ht="25.5" customHeight="1">
      <x:c r="A1" s="5" t="str">
        <x:v>Financial Analysis Assumptions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9" t="str">
        <x:v>Replace the yellow input cells with company-specific data from filings, investor materials, and market data.</x:v>
      </x:c>
      <x:c r="B2" s="9"/>
      <x:c r="C2" s="9"/>
      <x:c r="D2" s="9"/>
      <x:c r="E2" s="9"/>
      <x:c r="F2" s="9"/>
      <x:c r="G2" s="9"/>
      <x:c r="H2" s="9"/>
    </x:row>
    <x:row r="4">
      <x:c r="A4" s="13" t="str">
        <x:v>Model Conventions</x:v>
      </x:c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8" t="str">
        <x:v>Company Name</x:v>
      </x:c>
      <x:c r="B5" s="19" t="str">
        <x:v>ExampleCo Inc.</x:v>
      </x:c>
      <x:c r="C5" s="18" t="str"/>
      <x:c r="D5" s="18" t="str">
        <x:v>Currency</x:v>
      </x:c>
      <x:c r="E5" s="20" t="str">
        <x:v>USD</x:v>
      </x:c>
      <x:c r="F5" s="18" t="str"/>
      <x:c r="G5" s="18" t="str">
        <x:v>Units</x:v>
      </x:c>
      <x:c r="H5" s="20" t="str">
        <x:v>$mm</x:v>
      </x:c>
      <x:c r="I5" t="str"/>
      <x:c r="J5" t="str"/>
    </x:row>
    <x:row r="6">
      <x:c r="A6" s="18" t="str">
        <x:v>Ticker</x:v>
      </x:c>
      <x:c r="B6" s="19" t="str">
        <x:v>EXCO</x:v>
      </x:c>
      <x:c r="C6" s="18" t="str"/>
      <x:c r="D6" s="18" t="str">
        <x:v>Valuation Date</x:v>
      </x:c>
      <x:c r="E6" s="21" t="n">
        <x:v>46173</x:v>
      </x:c>
      <x:c r="F6" s="18" t="str"/>
      <x:c r="G6" s="18" t="str">
        <x:v>Fiscal Year End</x:v>
      </x:c>
      <x:c r="H6" s="20" t="str">
        <x:v>Dec 31</x:v>
      </x:c>
      <x:c r="I6" t="str"/>
      <x:c r="J6" t="str"/>
    </x:row>
    <x:row r="7">
      <x:c r="A7" s="18" t="str">
        <x:v>Scenario</x:v>
      </x:c>
      <x:c r="B7" s="19" t="str">
        <x:v>Base Case</x:v>
      </x:c>
      <x:c r="C7" s="18" t="str"/>
      <x:c r="D7" s="18" t="str">
        <x:v>Forecast Years</x:v>
      </x:c>
      <x:c r="E7" s="20" t="n">
        <x:v>5</x:v>
      </x:c>
      <x:c r="F7" s="18" t="str"/>
      <x:c r="G7" s="18" t="str">
        <x:v>Terminal Method</x:v>
      </x:c>
      <x:c r="H7" s="20" t="str">
        <x:v>Gordon Growth</x:v>
      </x:c>
      <x:c r="I7" t="str"/>
      <x:c r="J7" t="str"/>
    </x:row>
    <x:row r="8">
      <x:c r="A8" s="18" t="str">
        <x:v>Source Data Status</x:v>
      </x:c>
      <x:c r="B8" s="19" t="str">
        <x:v>Illustrative placeholder data</x:v>
      </x:c>
      <x:c r="C8" s="18" t="str"/>
      <x:c r="D8" s="18" t="str">
        <x:v>Discounting Convention</x:v>
      </x:c>
      <x:c r="E8" s="20" t="str">
        <x:v>Mid-year</x:v>
      </x:c>
      <x:c r="F8" s="18" t="str"/>
      <x:c r="G8" s="18" t="str">
        <x:v>Model Owner</x:v>
      </x:c>
      <x:c r="H8" s="20" t="str">
        <x:v>ChatGPT</x:v>
      </x:c>
      <x:c r="I8" t="str"/>
      <x:c r="J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t="str"/>
      <x:c r="J9" t="str"/>
    </x:row>
    <x:row r="10">
      <x:c r="A10" s="18" t="str">
        <x:v>Legend</x:v>
      </x:c>
      <x:c r="B10" s="18" t="str">
        <x:v>Blue font = hardcoded inputs</x:v>
      </x:c>
      <x:c r="C10" s="18" t="str">
        <x:v>Green font = sheet links</x:v>
      </x:c>
      <x:c r="D10" s="18" t="str">
        <x:v>Black font = formulas</x:v>
      </x:c>
      <x:c r="E10" s="18" t="str">
        <x:v>Yellow fill = user update</x:v>
      </x:c>
      <x:c r="F10" s="18" t="str"/>
      <x:c r="G10" s="18" t="str"/>
      <x:c r="H10" s="18" t="str"/>
      <x:c r="I10" t="str"/>
      <x:c r="J10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t="str"/>
      <x:c r="J11" t="str"/>
    </x:row>
    <x:row r="12">
      <x:c r="A12" s="18" t="str">
        <x:v>Note</x:v>
      </x:c>
      <x:c r="B12" s="18" t="str">
        <x:v>This workbook is a template because no specific company or filings were provided in the prompt.</x:v>
      </x:c>
      <x:c r="C12" s="18" t="str"/>
      <x:c r="D12" s="18" t="str"/>
      <x:c r="E12" s="18" t="str"/>
      <x:c r="F12" s="18" t="str"/>
      <x:c r="G12" s="18" t="str"/>
      <x:c r="H12" s="18" t="str"/>
      <x:c r="I12" t="str"/>
      <x:c r="J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</x:row>
    <x:row r="15">
      <x:c r="A15" s="13" t="str">
        <x:v>Forecast Drivers</x:v>
      </x:c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26" t="str">
        <x:v>Driver</x:v>
      </x:c>
      <x:c r="B16" s="26" t="str">
        <x:v>2027E</x:v>
      </x:c>
      <x:c r="C16" s="26" t="str">
        <x:v>2028E</x:v>
      </x:c>
      <x:c r="D16" s="26" t="str">
        <x:v>2029E</x:v>
      </x:c>
      <x:c r="E16" s="26" t="str">
        <x:v>2030E</x:v>
      </x:c>
      <x:c r="F16" s="26" t="str">
        <x:v>2031E</x:v>
      </x:c>
      <x:c r="G16" s="26" t="str"/>
      <x:c r="H16" s="26" t="str">
        <x:v>Bear</x:v>
      </x:c>
      <x:c r="I16" s="26" t="str">
        <x:v>Base</x:v>
      </x:c>
      <x:c r="J16" s="26" t="str">
        <x:v>Bull</x:v>
      </x:c>
    </x:row>
    <x:row r="17">
      <x:c r="A17" s="28" t="str">
        <x:v>Revenue Growth</x:v>
      </x:c>
      <x:c r="B17" s="49" t="n">
        <x:v>0.08</x:v>
      </x:c>
      <x:c r="C17" s="49" t="n">
        <x:v>0.075</x:v>
      </x:c>
      <x:c r="D17" s="49" t="n">
        <x:v>0.07</x:v>
      </x:c>
      <x:c r="E17" s="49" t="n">
        <x:v>0.065</x:v>
      </x:c>
      <x:c r="F17" s="49" t="n">
        <x:v>0.06</x:v>
      </x:c>
      <x:c r="G17" s="50" t="str"/>
      <x:c r="H17" s="49" t="n">
        <x:v>0.045</x:v>
      </x:c>
      <x:c r="I17" s="49" t="n">
        <x:v>0.065</x:v>
      </x:c>
      <x:c r="J17" s="51" t="n">
        <x:v>0.085</x:v>
      </x:c>
    </x:row>
    <x:row r="18">
      <x:c r="A18" s="31" t="str">
        <x:v>Gross Margin</x:v>
      </x:c>
      <x:c r="B18" s="52" t="n">
        <x:v>0.48</x:v>
      </x:c>
      <x:c r="C18" s="52" t="n">
        <x:v>0.485</x:v>
      </x:c>
      <x:c r="D18" s="52" t="n">
        <x:v>0.49</x:v>
      </x:c>
      <x:c r="E18" s="52" t="n">
        <x:v>0.495</x:v>
      </x:c>
      <x:c r="F18" s="52" t="n">
        <x:v>0.5</x:v>
      </x:c>
      <x:c r="G18" s="53" t="str"/>
      <x:c r="H18" s="52" t="n">
        <x:v>0.47</x:v>
      </x:c>
      <x:c r="I18" s="52" t="n">
        <x:v>0.495</x:v>
      </x:c>
      <x:c r="J18" s="54" t="n">
        <x:v>0.515</x:v>
      </x:c>
    </x:row>
    <x:row r="19">
      <x:c r="A19" s="31" t="str">
        <x:v>SG&amp;A % Revenue</x:v>
      </x:c>
      <x:c r="B19" s="52" t="n">
        <x:v>0.22</x:v>
      </x:c>
      <x:c r="C19" s="52" t="n">
        <x:v>0.215</x:v>
      </x:c>
      <x:c r="D19" s="52" t="n">
        <x:v>0.21</x:v>
      </x:c>
      <x:c r="E19" s="52" t="n">
        <x:v>0.205</x:v>
      </x:c>
      <x:c r="F19" s="52" t="n">
        <x:v>0.2</x:v>
      </x:c>
      <x:c r="G19" s="53" t="str"/>
      <x:c r="H19" s="52" t="n">
        <x:v>0.23</x:v>
      </x:c>
      <x:c r="I19" s="52" t="n">
        <x:v>0.205</x:v>
      </x:c>
      <x:c r="J19" s="54" t="n">
        <x:v>0.19</x:v>
      </x:c>
    </x:row>
    <x:row r="20">
      <x:c r="A20" s="31" t="str">
        <x:v>R&amp;D % Revenue</x:v>
      </x:c>
      <x:c r="B20" s="52" t="n">
        <x:v>0.09</x:v>
      </x:c>
      <x:c r="C20" s="52" t="n">
        <x:v>0.088</x:v>
      </x:c>
      <x:c r="D20" s="52" t="n">
        <x:v>0.086</x:v>
      </x:c>
      <x:c r="E20" s="52" t="n">
        <x:v>0.084</x:v>
      </x:c>
      <x:c r="F20" s="52" t="n">
        <x:v>0.082</x:v>
      </x:c>
      <x:c r="G20" s="53" t="str"/>
      <x:c r="H20" s="52" t="n">
        <x:v>0.095</x:v>
      </x:c>
      <x:c r="I20" s="52" t="n">
        <x:v>0.084</x:v>
      </x:c>
      <x:c r="J20" s="54" t="n">
        <x:v>0.075</x:v>
      </x:c>
    </x:row>
    <x:row r="21">
      <x:c r="A21" s="31" t="str">
        <x:v>D&amp;A % Revenue</x:v>
      </x:c>
      <x:c r="B21" s="52" t="n">
        <x:v>0.035</x:v>
      </x:c>
      <x:c r="C21" s="52" t="n">
        <x:v>0.034</x:v>
      </x:c>
      <x:c r="D21" s="52" t="n">
        <x:v>0.033</x:v>
      </x:c>
      <x:c r="E21" s="52" t="n">
        <x:v>0.032</x:v>
      </x:c>
      <x:c r="F21" s="52" t="n">
        <x:v>0.031</x:v>
      </x:c>
      <x:c r="G21" s="53" t="str"/>
      <x:c r="H21" s="52" t="n">
        <x:v>0.035</x:v>
      </x:c>
      <x:c r="I21" s="52" t="n">
        <x:v>0.032</x:v>
      </x:c>
      <x:c r="J21" s="54" t="n">
        <x:v>0.03</x:v>
      </x:c>
    </x:row>
    <x:row r="22">
      <x:c r="A22" s="31" t="str">
        <x:v>Capex % Revenue</x:v>
      </x:c>
      <x:c r="B22" s="52" t="n">
        <x:v>0.055</x:v>
      </x:c>
      <x:c r="C22" s="52" t="n">
        <x:v>0.054</x:v>
      </x:c>
      <x:c r="D22" s="52" t="n">
        <x:v>0.053</x:v>
      </x:c>
      <x:c r="E22" s="52" t="n">
        <x:v>0.052</x:v>
      </x:c>
      <x:c r="F22" s="52" t="n">
        <x:v>0.05</x:v>
      </x:c>
      <x:c r="G22" s="53" t="str"/>
      <x:c r="H22" s="52" t="n">
        <x:v>0.06</x:v>
      </x:c>
      <x:c r="I22" s="52" t="n">
        <x:v>0.052</x:v>
      </x:c>
      <x:c r="J22" s="54" t="n">
        <x:v>0.047</x:v>
      </x:c>
    </x:row>
    <x:row r="23">
      <x:c r="A23" s="31" t="str">
        <x:v>NWC % Revenue</x:v>
      </x:c>
      <x:c r="B23" s="52" t="n">
        <x:v>0.12</x:v>
      </x:c>
      <x:c r="C23" s="52" t="n">
        <x:v>0.118</x:v>
      </x:c>
      <x:c r="D23" s="52" t="n">
        <x:v>0.116</x:v>
      </x:c>
      <x:c r="E23" s="52" t="n">
        <x:v>0.114</x:v>
      </x:c>
      <x:c r="F23" s="52" t="n">
        <x:v>0.112</x:v>
      </x:c>
      <x:c r="G23" s="53" t="str"/>
      <x:c r="H23" s="52" t="n">
        <x:v>0.125</x:v>
      </x:c>
      <x:c r="I23" s="52" t="n">
        <x:v>0.114</x:v>
      </x:c>
      <x:c r="J23" s="54" t="n">
        <x:v>0.105</x:v>
      </x:c>
    </x:row>
    <x:row r="24">
      <x:c r="A24" s="34" t="str">
        <x:v>Cash Tax Rate</x:v>
      </x:c>
      <x:c r="B24" s="55" t="n">
        <x:v>0.22</x:v>
      </x:c>
      <x:c r="C24" s="55" t="n">
        <x:v>0.22</x:v>
      </x:c>
      <x:c r="D24" s="55" t="n">
        <x:v>0.22</x:v>
      </x:c>
      <x:c r="E24" s="55" t="n">
        <x:v>0.22</x:v>
      </x:c>
      <x:c r="F24" s="55" t="n">
        <x:v>0.22</x:v>
      </x:c>
      <x:c r="G24" s="56" t="str"/>
      <x:c r="H24" s="55" t="n">
        <x:v>0.24</x:v>
      </x:c>
      <x:c r="I24" s="55" t="n">
        <x:v>0.22</x:v>
      </x:c>
      <x:c r="J24" s="57" t="n">
        <x:v>0.2</x:v>
      </x:c>
    </x:row>
    <x:row r="27">
      <x:c r="A27" s="13" t="str">
        <x:v>Valuation Assumptions</x:v>
      </x:c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26" t="str">
        <x:v>Assumption</x:v>
      </x:c>
      <x:c r="B28" s="26" t="str">
        <x:v>Base Case</x:v>
      </x:c>
      <x:c r="C28" s="26" t="str">
        <x:v>Low</x:v>
      </x:c>
      <x:c r="D28" s="26" t="str">
        <x:v>High</x:v>
      </x:c>
      <x:c r="E28" s="26" t="str"/>
      <x:c r="F28" s="26" t="str">
        <x:v>Assumption</x:v>
      </x:c>
      <x:c r="G28" s="26" t="str">
        <x:v>Base Case</x:v>
      </x:c>
      <x:c r="H28" s="26" t="str">
        <x:v>Low</x:v>
      </x:c>
      <x:c r="I28" s="26" t="str">
        <x:v>High</x:v>
      </x:c>
      <x:c r="J28" s="26" t="str"/>
    </x:row>
    <x:row r="29">
      <x:c r="A29" s="28" t="str">
        <x:v>WACC</x:v>
      </x:c>
      <x:c r="B29" s="49" t="n">
        <x:v>0.095</x:v>
      </x:c>
      <x:c r="C29" s="49" t="n">
        <x:v>0.085</x:v>
      </x:c>
      <x:c r="D29" s="49" t="n">
        <x:v>0.105</x:v>
      </x:c>
      <x:c r="E29" s="29" t="str"/>
      <x:c r="F29" s="29" t="str">
        <x:v>Terminal Growth</x:v>
      </x:c>
      <x:c r="G29" s="49" t="n">
        <x:v>0.025</x:v>
      </x:c>
      <x:c r="H29" s="49" t="n">
        <x:v>0.015</x:v>
      </x:c>
      <x:c r="I29" s="49" t="n">
        <x:v>0.035</x:v>
      </x:c>
      <x:c r="J29" s="30" t="str"/>
    </x:row>
    <x:row r="30">
      <x:c r="A30" s="31" t="str">
        <x:v>Exit EBITDA Multiple</x:v>
      </x:c>
      <x:c r="B30" s="58" t="n">
        <x:v>11</x:v>
      </x:c>
      <x:c r="C30" s="58" t="n">
        <x:v>9</x:v>
      </x:c>
      <x:c r="D30" s="58" t="n">
        <x:v>13</x:v>
      </x:c>
      <x:c r="E30" s="32" t="str"/>
      <x:c r="F30" s="32" t="str">
        <x:v>Cash &amp; Equivalents</x:v>
      </x:c>
      <x:c r="G30" s="59" t="n">
        <x:v>520</x:v>
      </x:c>
      <x:c r="H30" s="59" t="n">
        <x:v>450</x:v>
      </x:c>
      <x:c r="I30" s="59" t="n">
        <x:v>600</x:v>
      </x:c>
      <x:c r="J30" s="33" t="str"/>
    </x:row>
    <x:row r="31">
      <x:c r="A31" s="31" t="str">
        <x:v>Debt</x:v>
      </x:c>
      <x:c r="B31" s="59" t="n">
        <x:v>980</x:v>
      </x:c>
      <x:c r="C31" s="59" t="n">
        <x:v>900</x:v>
      </x:c>
      <x:c r="D31" s="59" t="n">
        <x:v>1050</x:v>
      </x:c>
      <x:c r="E31" s="32" t="str"/>
      <x:c r="F31" s="32" t="str">
        <x:v>Diluted Shares</x:v>
      </x:c>
      <x:c r="G31" s="60" t="n">
        <x:v>210</x:v>
      </x:c>
      <x:c r="H31" s="60" t="n">
        <x:v>200</x:v>
      </x:c>
      <x:c r="I31" s="60" t="n">
        <x:v>220</x:v>
      </x:c>
      <x:c r="J31" s="33" t="str"/>
    </x:row>
    <x:row r="32">
      <x:c r="A32" s="31" t="str">
        <x:v>Minority Interest</x:v>
      </x:c>
      <x:c r="B32" s="59" t="n">
        <x:v>0</x:v>
      </x:c>
      <x:c r="C32" s="59" t="n">
        <x:v>0</x:v>
      </x:c>
      <x:c r="D32" s="59" t="n">
        <x:v>0</x:v>
      </x:c>
      <x:c r="E32" s="32" t="str"/>
      <x:c r="F32" s="32" t="str">
        <x:v>Investments / Other Assets</x:v>
      </x:c>
      <x:c r="G32" s="59" t="n">
        <x:v>75</x:v>
      </x:c>
      <x:c r="H32" s="59" t="n">
        <x:v>50</x:v>
      </x:c>
      <x:c r="I32" s="59" t="n">
        <x:v>100</x:v>
      </x:c>
      <x:c r="J32" s="33" t="str"/>
    </x:row>
    <x:row r="33">
      <x:c r="A33" s="31" t="str"/>
      <x:c r="B33" s="59" t="str"/>
      <x:c r="C33" s="59" t="str"/>
      <x:c r="D33" s="59" t="str"/>
      <x:c r="E33" s="32" t="str"/>
      <x:c r="F33" s="32" t="str"/>
      <x:c r="G33" s="59" t="str"/>
      <x:c r="H33" s="59" t="str"/>
      <x:c r="I33" s="59" t="str"/>
      <x:c r="J33" s="33" t="str"/>
    </x:row>
    <x:row r="34">
      <x:c r="A34" s="34" t="str">
        <x:v>Source Note</x:v>
      </x:c>
      <x:c r="B34" s="35" t="str">
        <x:v>Replace with latest market data and balance sheet values.</x:v>
      </x:c>
      <x:c r="C34" s="35" t="str"/>
      <x:c r="D34" s="35" t="str"/>
      <x:c r="E34" s="35" t="str"/>
      <x:c r="F34" s="35" t="str"/>
      <x:c r="G34" s="35" t="str"/>
      <x:c r="H34" s="35" t="str"/>
      <x:c r="I34" s="35" t="str"/>
      <x:c r="J34" s="36" t="str"/>
    </x:row>
    <x:row r="35">
      <x:c r="A35" t="str"/>
      <x:c r="B35" t="str"/>
      <x:c r="C35" t="str"/>
      <x:c r="D35" t="str"/>
      <x:c r="E35" t="str"/>
      <x:c r="F35" t="str"/>
      <x:c r="G35" t="str"/>
      <x:c r="H35" t="str"/>
      <x:c r="I35" t="str"/>
      <x:c r="J35" t="str"/>
    </x:row>
    <x:row r="36">
      <x:c r="A36" t="str"/>
      <x:c r="B36" t="str"/>
      <x:c r="C36" t="str"/>
      <x:c r="D36" t="str"/>
      <x:c r="E36" t="str"/>
      <x:c r="F36" t="str"/>
      <x:c r="G36" t="str"/>
      <x:c r="H36" t="str"/>
      <x:c r="I36" t="str"/>
      <x:c r="J36" t="str"/>
    </x:row>
  </x:sheetData>
  <x:mergeCells>
    <x:mergeCell ref="A1:J1"/>
    <x:mergeCell ref="A2:H2"/>
    <x:mergeCell ref="A4:J4"/>
    <x:mergeCell ref="A15:J15"/>
    <x:mergeCell ref="A27:J27"/>
  </x:mergeCells>
  <x:pageMargins left="0.7" right="0.7" top="0.75" bottom="0.75" header="0.3" footer="0.3"/>
  <x:legacyDrawing xmlns:r="http://schemas.openxmlformats.org/officeDocument/2006/relationships" r:id="Ra74565751b1c4cf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5" hidden="0" customWidth="1"/>
    <x:col min="8" max="8" width="25" hidden="0" customWidth="1"/>
  </x:cols>
  <x:sheetData>
    <x:row r="1" ht="25.5" customHeight="1">
      <x:c r="A1" s="5" t="str">
        <x:v>Historical Financials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9" t="str">
        <x:v>Illustrative historicals. Replace with company-reported financial statements.</x:v>
      </x:c>
      <x:c r="B2" s="9"/>
      <x:c r="C2" s="9"/>
      <x:c r="D2" s="9"/>
      <x:c r="E2" s="9"/>
      <x:c r="F2" s="9"/>
      <x:c r="G2" s="9"/>
      <x:c r="H2" s="9"/>
    </x:row>
    <x:row r="4">
      <x:c r="A4" s="13" t="str">
        <x:v>Income Statement and Cash Flow Inputs</x:v>
      </x:c>
      <x:c r="B4" s="13"/>
      <x:c r="C4" s="13"/>
      <x:c r="D4" s="13"/>
      <x:c r="E4" s="13"/>
      <x:c r="F4" s="13"/>
      <x:c r="G4" s="13"/>
      <x:c r="H4" s="13"/>
    </x:row>
    <x:row r="5">
      <x:c r="A5" s="26" t="str">
        <x:v>Metric ($mm except per-share)</x:v>
      </x:c>
      <x:c r="B5" s="26" t="str">
        <x:v>2022A</x:v>
      </x:c>
      <x:c r="C5" s="26" t="str">
        <x:v>2023A</x:v>
      </x:c>
      <x:c r="D5" s="26" t="str">
        <x:v>2024A</x:v>
      </x:c>
      <x:c r="E5" s="26" t="str">
        <x:v>2025A</x:v>
      </x:c>
      <x:c r="F5" s="26" t="str">
        <x:v>2026A</x:v>
      </x:c>
      <x:c r="G5" s="26" t="str">
        <x:v>Source ID</x:v>
      </x:c>
      <x:c r="H5" s="26" t="str">
        <x:v>Notes</x:v>
      </x:c>
    </x:row>
    <x:row r="6">
      <x:c r="A6" s="28" t="str">
        <x:v>Revenue</x:v>
      </x:c>
      <x:c r="B6" s="63" t="n">
        <x:v>3200</x:v>
      </x:c>
      <x:c r="C6" s="63" t="n">
        <x:v>3550</x:v>
      </x:c>
      <x:c r="D6" s="63" t="n">
        <x:v>3920</x:v>
      </x:c>
      <x:c r="E6" s="63" t="n">
        <x:v>4360</x:v>
      </x:c>
      <x:c r="F6" s="63" t="n">
        <x:v>4820</x:v>
      </x:c>
      <x:c r="G6" s="75" t="str">
        <x:v>SRC-001</x:v>
      </x:c>
      <x:c r="H6" s="76" t="str">
        <x:v>Reported revenue</x:v>
      </x:c>
    </x:row>
    <x:row r="7">
      <x:c r="A7" s="31" t="str">
        <x:v>Gross Profit</x:v>
      </x:c>
      <x:c r="B7" s="59" t="n">
        <x:v>1440</x:v>
      </x:c>
      <x:c r="C7" s="59" t="n">
        <x:v>1633</x:v>
      </x:c>
      <x:c r="D7" s="59" t="n">
        <x:v>1842</x:v>
      </x:c>
      <x:c r="E7" s="59" t="n">
        <x:v>2093</x:v>
      </x:c>
      <x:c r="F7" s="59" t="n">
        <x:v>2323</x:v>
      </x:c>
      <x:c r="G7" s="77" t="str">
        <x:v>SRC-001</x:v>
      </x:c>
      <x:c r="H7" s="78" t="str">
        <x:v>Revenue less cost of goods sold</x:v>
      </x:c>
    </x:row>
    <x:row r="8">
      <x:c r="A8" s="31" t="str">
        <x:v>SG&amp;A</x:v>
      </x:c>
      <x:c r="B8" s="59" t="n">
        <x:v>-760</x:v>
      </x:c>
      <x:c r="C8" s="59" t="n">
        <x:v>-820</x:v>
      </x:c>
      <x:c r="D8" s="59" t="n">
        <x:v>-910</x:v>
      </x:c>
      <x:c r="E8" s="59" t="n">
        <x:v>-990</x:v>
      </x:c>
      <x:c r="F8" s="59" t="n">
        <x:v>-1060</x:v>
      </x:c>
      <x:c r="G8" s="77" t="str">
        <x:v>SRC-001</x:v>
      </x:c>
      <x:c r="H8" s="78" t="str">
        <x:v>Operating expense</x:v>
      </x:c>
    </x:row>
    <x:row r="9">
      <x:c r="A9" s="31" t="str">
        <x:v>R&amp;D</x:v>
      </x:c>
      <x:c r="B9" s="59" t="n">
        <x:v>-270</x:v>
      </x:c>
      <x:c r="C9" s="59" t="n">
        <x:v>-305</x:v>
      </x:c>
      <x:c r="D9" s="59" t="n">
        <x:v>-345</x:v>
      </x:c>
      <x:c r="E9" s="59" t="n">
        <x:v>-386</x:v>
      </x:c>
      <x:c r="F9" s="59" t="n">
        <x:v>-425</x:v>
      </x:c>
      <x:c r="G9" s="77" t="str">
        <x:v>SRC-001</x:v>
      </x:c>
      <x:c r="H9" s="78" t="str">
        <x:v>Operating expense</x:v>
      </x:c>
    </x:row>
    <x:row r="10">
      <x:c r="A10" s="31" t="str">
        <x:v>EBITDA</x:v>
      </x:c>
      <x:c r="B10" s="59" t="n">
        <x:v>560</x:v>
      </x:c>
      <x:c r="C10" s="59" t="n">
        <x:v>650</x:v>
      </x:c>
      <x:c r="D10" s="59" t="n">
        <x:v>760</x:v>
      </x:c>
      <x:c r="E10" s="59" t="n">
        <x:v>870</x:v>
      </x:c>
      <x:c r="F10" s="59" t="n">
        <x:v>1000</x:v>
      </x:c>
      <x:c r="G10" s="77" t="str">
        <x:v>SRC-001</x:v>
      </x:c>
      <x:c r="H10" s="78" t="str">
        <x:v>Company / analyst adjusted EBITDA</x:v>
      </x:c>
    </x:row>
    <x:row r="11">
      <x:c r="A11" s="31" t="str">
        <x:v>D&amp;A</x:v>
      </x:c>
      <x:c r="B11" s="59" t="n">
        <x:v>-110</x:v>
      </x:c>
      <x:c r="C11" s="59" t="n">
        <x:v>-122</x:v>
      </x:c>
      <x:c r="D11" s="59" t="n">
        <x:v>-137</x:v>
      </x:c>
      <x:c r="E11" s="59" t="n">
        <x:v>-150</x:v>
      </x:c>
      <x:c r="F11" s="59" t="n">
        <x:v>-166</x:v>
      </x:c>
      <x:c r="G11" s="77" t="str">
        <x:v>SRC-001</x:v>
      </x:c>
      <x:c r="H11" s="78" t="str">
        <x:v>Depreciation and amortization</x:v>
      </x:c>
    </x:row>
    <x:row r="12">
      <x:c r="A12" s="31" t="str">
        <x:v>EBIT</x:v>
      </x:c>
      <x:c r="B12" s="59" t="n">
        <x:v>450</x:v>
      </x:c>
      <x:c r="C12" s="59" t="n">
        <x:v>528</x:v>
      </x:c>
      <x:c r="D12" s="59" t="n">
        <x:v>623</x:v>
      </x:c>
      <x:c r="E12" s="59" t="n">
        <x:v>720</x:v>
      </x:c>
      <x:c r="F12" s="59" t="n">
        <x:v>834</x:v>
      </x:c>
      <x:c r="G12" s="77" t="str">
        <x:v>SRC-001</x:v>
      </x:c>
      <x:c r="H12" s="78" t="str">
        <x:v>EBITDA less D&amp;A</x:v>
      </x:c>
    </x:row>
    <x:row r="13">
      <x:c r="A13" s="31" t="str">
        <x:v>Cash Taxes</x:v>
      </x:c>
      <x:c r="B13" s="59" t="n">
        <x:v>-88</x:v>
      </x:c>
      <x:c r="C13" s="59" t="n">
        <x:v>-112</x:v>
      </x:c>
      <x:c r="D13" s="59" t="n">
        <x:v>-136</x:v>
      </x:c>
      <x:c r="E13" s="59" t="n">
        <x:v>-158</x:v>
      </x:c>
      <x:c r="F13" s="59" t="n">
        <x:v>-183</x:v>
      </x:c>
      <x:c r="G13" s="77" t="str">
        <x:v>SRC-001</x:v>
      </x:c>
      <x:c r="H13" s="78" t="str">
        <x:v>Cash taxes paid / estimated</x:v>
      </x:c>
    </x:row>
    <x:row r="14">
      <x:c r="A14" s="31" t="str">
        <x:v>Capex</x:v>
      </x:c>
      <x:c r="B14" s="59" t="n">
        <x:v>-190</x:v>
      </x:c>
      <x:c r="C14" s="59" t="n">
        <x:v>-205</x:v>
      </x:c>
      <x:c r="D14" s="59" t="n">
        <x:v>-226</x:v>
      </x:c>
      <x:c r="E14" s="59" t="n">
        <x:v>-245</x:v>
      </x:c>
      <x:c r="F14" s="59" t="n">
        <x:v>-268</x:v>
      </x:c>
      <x:c r="G14" s="77" t="str">
        <x:v>SRC-001</x:v>
      </x:c>
      <x:c r="H14" s="78" t="str">
        <x:v>Capital expenditures</x:v>
      </x:c>
    </x:row>
    <x:row r="15">
      <x:c r="A15" s="31" t="str">
        <x:v>Net Working Capital</x:v>
      </x:c>
      <x:c r="B15" s="59" t="n">
        <x:v>400</x:v>
      </x:c>
      <x:c r="C15" s="59" t="n">
        <x:v>430</x:v>
      </x:c>
      <x:c r="D15" s="59" t="n">
        <x:v>455</x:v>
      </x:c>
      <x:c r="E15" s="59" t="n">
        <x:v>505</x:v>
      </x:c>
      <x:c r="F15" s="59" t="n">
        <x:v>550</x:v>
      </x:c>
      <x:c r="G15" s="77" t="str">
        <x:v>SRC-001</x:v>
      </x:c>
      <x:c r="H15" s="78" t="str">
        <x:v>Operating NWC balance</x:v>
      </x:c>
    </x:row>
    <x:row r="16">
      <x:c r="A16" s="31" t="str">
        <x:v>Change in NWC</x:v>
      </x:c>
      <x:c r="B16" s="64" t="n">
        <x:f>B15-B15</x:f>
        <x:v>0</x:v>
      </x:c>
      <x:c r="C16" s="64" t="n">
        <x:f>C15-B15</x:f>
        <x:v>30</x:v>
      </x:c>
      <x:c r="D16" s="64" t="n">
        <x:f>D15-C15</x:f>
        <x:v>25</x:v>
      </x:c>
      <x:c r="E16" s="64" t="n">
        <x:f>E15-D15</x:f>
        <x:v>50</x:v>
      </x:c>
      <x:c r="F16" s="64" t="n">
        <x:f>F15-E15</x:f>
        <x:v>45</x:v>
      </x:c>
      <x:c r="G16" s="77" t="str">
        <x:v>Calc</x:v>
      </x:c>
      <x:c r="H16" s="78" t="str">
        <x:v>Year-over-year change in operating NWC</x:v>
      </x:c>
    </x:row>
    <x:row r="17">
      <x:c r="A17" s="31" t="str">
        <x:v>Unlevered FCF</x:v>
      </x:c>
      <x:c r="B17" s="65" t="n">
        <x:f>B12+B13-B11+B14-B16</x:f>
        <x:v>282</x:v>
      </x:c>
      <x:c r="C17" s="65" t="n">
        <x:f>C12+C13-C11+C14-C16</x:f>
        <x:v>303</x:v>
      </x:c>
      <x:c r="D17" s="65" t="n">
        <x:f>D12+D13-D11+D14-D16</x:f>
        <x:v>373</x:v>
      </x:c>
      <x:c r="E17" s="65" t="n">
        <x:f>E12+E13-E11+E14-E16</x:f>
        <x:v>417</x:v>
      </x:c>
      <x:c r="F17" s="65" t="n">
        <x:f>F12+F13-F11+F14-F16</x:f>
        <x:v>504</x:v>
      </x:c>
      <x:c r="G17" s="77" t="str">
        <x:v>Calc</x:v>
      </x:c>
      <x:c r="H17" s="78" t="str">
        <x:v>EBIT less cash taxes plus D&amp;A less capex less change in NWC</x:v>
      </x:c>
    </x:row>
    <x:row r="18">
      <x:c r="A18" s="31" t="str">
        <x:v>Cash &amp; Equivalents</x:v>
      </x:c>
      <x:c r="B18" s="66" t="n">
        <x:v>410</x:v>
      </x:c>
      <x:c r="C18" s="66" t="n">
        <x:v>450</x:v>
      </x:c>
      <x:c r="D18" s="66" t="n">
        <x:v>480</x:v>
      </x:c>
      <x:c r="E18" s="66" t="n">
        <x:v>500</x:v>
      </x:c>
      <x:c r="F18" s="66" t="n">
        <x:v>520</x:v>
      </x:c>
      <x:c r="G18" s="77" t="str">
        <x:v>SRC-002</x:v>
      </x:c>
      <x:c r="H18" s="78" t="str">
        <x:v>Balance sheet cash</x:v>
      </x:c>
    </x:row>
    <x:row r="19">
      <x:c r="A19" s="31" t="str">
        <x:v>Debt</x:v>
      </x:c>
      <x:c r="B19" s="66" t="n">
        <x:v>900</x:v>
      </x:c>
      <x:c r="C19" s="66" t="n">
        <x:v>950</x:v>
      </x:c>
      <x:c r="D19" s="66" t="n">
        <x:v>1010</x:v>
      </x:c>
      <x:c r="E19" s="66" t="n">
        <x:v>995</x:v>
      </x:c>
      <x:c r="F19" s="66" t="n">
        <x:v>980</x:v>
      </x:c>
      <x:c r="G19" s="77" t="str">
        <x:v>SRC-002</x:v>
      </x:c>
      <x:c r="H19" s="78" t="str">
        <x:v>Short- and long-term debt</x:v>
      </x:c>
    </x:row>
    <x:row r="20">
      <x:c r="A20" s="34" t="str">
        <x:v>Diluted Shares</x:v>
      </x:c>
      <x:c r="B20" s="68" t="n">
        <x:v>225</x:v>
      </x:c>
      <x:c r="C20" s="68" t="n">
        <x:v>220</x:v>
      </x:c>
      <x:c r="D20" s="68" t="n">
        <x:v>216</x:v>
      </x:c>
      <x:c r="E20" s="68" t="n">
        <x:v>213</x:v>
      </x:c>
      <x:c r="F20" s="68" t="n">
        <x:v>210</x:v>
      </x:c>
      <x:c r="G20" s="79" t="str">
        <x:v>SRC-003</x:v>
      </x:c>
      <x:c r="H20" s="80" t="str">
        <x:v>Diluted weighted shares</x:v>
      </x:c>
    </x:row>
    <x:row r="23">
      <x:c r="A23" s="26" t="str">
        <x:v>Metric</x:v>
      </x:c>
      <x:c r="B23" s="26" t="str">
        <x:v>2022A</x:v>
      </x:c>
      <x:c r="C23" s="26" t="str">
        <x:v>2023A</x:v>
      </x:c>
      <x:c r="D23" s="26" t="str">
        <x:v>2024A</x:v>
      </x:c>
      <x:c r="E23" s="26" t="str">
        <x:v>2025A</x:v>
      </x:c>
      <x:c r="F23" s="26" t="str">
        <x:v>2026A</x:v>
      </x:c>
      <x:c r="G23" s="26" t="str">
        <x:v>Source ID</x:v>
      </x:c>
      <x:c r="H23" s="26" t="str">
        <x:v>Notes</x:v>
      </x:c>
    </x:row>
    <x:row r="24">
      <x:c r="A24" s="28" t="str">
        <x:v>Revenue Growth</x:v>
      </x:c>
      <x:c r="B24" s="83" t="str">
        <x:f>IFERROR(B6/NA(),"")</x:f>
      </x:c>
      <x:c r="C24" s="83" t="n">
        <x:f>C6/B6-1</x:f>
        <x:v>0.109375</x:v>
      </x:c>
      <x:c r="D24" s="83" t="n">
        <x:f>D6/C6-1</x:f>
        <x:v>0.10422535211267614</x:v>
      </x:c>
      <x:c r="E24" s="83" t="n">
        <x:f>E6/D6-1</x:f>
        <x:v>0.11224489795918369</x:v>
      </x:c>
      <x:c r="F24" s="83" t="n">
        <x:f>F6/E6-1</x:f>
        <x:v>0.10550458715596323</x:v>
      </x:c>
      <x:c r="G24" s="29" t="str">
        <x:v>Calc</x:v>
      </x:c>
      <x:c r="H24" s="30" t="str"/>
    </x:row>
    <x:row r="25">
      <x:c r="A25" s="31" t="str">
        <x:v>Gross Margin</x:v>
      </x:c>
      <x:c r="B25" s="84" t="n">
        <x:f>B7/B6</x:f>
        <x:v>0.45</x:v>
      </x:c>
      <x:c r="C25" s="84" t="n">
        <x:f>C7/C6</x:f>
        <x:v>0.46</x:v>
      </x:c>
      <x:c r="D25" s="84" t="n">
        <x:f>D7/D6</x:f>
        <x:v>0.4698979591836735</x:v>
      </x:c>
      <x:c r="E25" s="84" t="n">
        <x:f>E7/E6</x:f>
        <x:v>0.480045871559633</x:v>
      </x:c>
      <x:c r="F25" s="84" t="n">
        <x:f>F7/F6</x:f>
        <x:v>0.4819502074688797</x:v>
      </x:c>
      <x:c r="G25" s="32" t="str">
        <x:v>Calc</x:v>
      </x:c>
      <x:c r="H25" s="33" t="str"/>
    </x:row>
    <x:row r="26">
      <x:c r="A26" s="31" t="str">
        <x:v>EBITDA Margin</x:v>
      </x:c>
      <x:c r="B26" s="84" t="n">
        <x:f>B11/B6</x:f>
        <x:v>-0.034375</x:v>
      </x:c>
      <x:c r="C26" s="84" t="n">
        <x:f>C11/C6</x:f>
        <x:v>-0.03436619718309859</x:v>
      </x:c>
      <x:c r="D26" s="84" t="n">
        <x:f>D11/D6</x:f>
        <x:v>-0.03494897959183674</x:v>
      </x:c>
      <x:c r="E26" s="84" t="n">
        <x:f>E11/E6</x:f>
        <x:v>-0.034403669724770644</x:v>
      </x:c>
      <x:c r="F26" s="84" t="n">
        <x:f>F11/F6</x:f>
        <x:v>-0.03443983402489627</x:v>
      </x:c>
      <x:c r="G26" s="32" t="str">
        <x:v>Calc</x:v>
      </x:c>
      <x:c r="H26" s="33" t="str"/>
    </x:row>
    <x:row r="27">
      <x:c r="A27" s="31" t="str">
        <x:v>EBIT Margin</x:v>
      </x:c>
      <x:c r="B27" s="84" t="n">
        <x:f>B13/B6</x:f>
        <x:v>-0.0275</x:v>
      </x:c>
      <x:c r="C27" s="84" t="n">
        <x:f>C13/C6</x:f>
        <x:v>-0.031549295774647886</x:v>
      </x:c>
      <x:c r="D27" s="84" t="n">
        <x:f>D13/D6</x:f>
        <x:v>-0.03469387755102041</x:v>
      </x:c>
      <x:c r="E27" s="84" t="n">
        <x:f>E13/E6</x:f>
        <x:v>-0.036238532110091745</x:v>
      </x:c>
      <x:c r="F27" s="84" t="n">
        <x:f>F13/F6</x:f>
        <x:v>-0.03796680497925311</x:v>
      </x:c>
      <x:c r="G27" s="32" t="str">
        <x:v>Calc</x:v>
      </x:c>
      <x:c r="H27" s="33" t="str"/>
    </x:row>
    <x:row r="28">
      <x:c r="A28" s="31" t="str">
        <x:v>FCF Margin</x:v>
      </x:c>
      <x:c r="B28" s="84" t="n">
        <x:f>B18/B6</x:f>
        <x:v>0.128125</x:v>
      </x:c>
      <x:c r="C28" s="84" t="n">
        <x:f>C18/C6</x:f>
        <x:v>0.1267605633802817</x:v>
      </x:c>
      <x:c r="D28" s="84" t="n">
        <x:f>D18/D6</x:f>
        <x:v>0.12244897959183673</x:v>
      </x:c>
      <x:c r="E28" s="84" t="n">
        <x:f>E18/E6</x:f>
        <x:v>0.11467889908256881</x:v>
      </x:c>
      <x:c r="F28" s="84" t="n">
        <x:f>F18/F6</x:f>
        <x:v>0.1078838174273859</x:v>
      </x:c>
      <x:c r="G28" s="32" t="str">
        <x:v>Calc</x:v>
      </x:c>
      <x:c r="H28" s="33" t="str"/>
    </x:row>
    <x:row r="29">
      <x:c r="A29" s="31" t="str">
        <x:v>Capex % Revenue</x:v>
      </x:c>
      <x:c r="B29" s="84" t="n">
        <x:f>-B15/B6</x:f>
        <x:v>-0.125</x:v>
      </x:c>
      <x:c r="C29" s="84" t="n">
        <x:f>-C15/C6</x:f>
        <x:v>-0.12112676056338029</x:v>
      </x:c>
      <x:c r="D29" s="84" t="n">
        <x:f>-D15/D6</x:f>
        <x:v>-0.11607142857142858</x:v>
      </x:c>
      <x:c r="E29" s="84" t="n">
        <x:f>-E15/E6</x:f>
        <x:v>-0.1158256880733945</x:v>
      </x:c>
      <x:c r="F29" s="84" t="n">
        <x:f>-F15/F6</x:f>
        <x:v>-0.11410788381742738</x:v>
      </x:c>
      <x:c r="G29" s="32" t="str">
        <x:v>Calc</x:v>
      </x:c>
      <x:c r="H29" s="33" t="str"/>
    </x:row>
    <x:row r="30">
      <x:c r="A30" s="34" t="str">
        <x:v>NWC % Revenue</x:v>
      </x:c>
      <x:c r="B30" s="85" t="n">
        <x:f>B16/B6</x:f>
        <x:v>0</x:v>
      </x:c>
      <x:c r="C30" s="85" t="n">
        <x:f>C16/C6</x:f>
        <x:v>0.008450704225352112</x:v>
      </x:c>
      <x:c r="D30" s="85" t="n">
        <x:f>D16/D6</x:f>
        <x:v>0.006377551020408163</x:v>
      </x:c>
      <x:c r="E30" s="85" t="n">
        <x:f>E16/E6</x:f>
        <x:v>0.011467889908256881</x:v>
      </x:c>
      <x:c r="F30" s="85" t="n">
        <x:f>F16/F6</x:f>
        <x:v>0.00933609958506224</x:v>
      </x:c>
      <x:c r="G30" s="35" t="str">
        <x:v>Calc</x:v>
      </x:c>
      <x:c r="H30" s="36" t="str"/>
    </x:row>
  </x:sheetData>
  <x:mergeCells>
    <x:mergeCell ref="A1:H1"/>
    <x:mergeCell ref="A2:H2"/>
    <x:mergeCell ref="A4:H4"/>
  </x:mergeCells>
  <x:pageMargins left="0.7" right="0.7" top="0.75" bottom="0.75" header="0.3" footer="0.3"/>
  <x:legacyDrawing xmlns:r="http://schemas.openxmlformats.org/officeDocument/2006/relationships" r:id="Rdb4faef2874f49e2"/>
  <x:tableParts count="1">
    <x:tablePart xmlns:r="http://schemas.openxmlformats.org/officeDocument/2006/relationships" r:id="Re59f174a58a04d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6.25" hidden="0" customWidth="1"/>
    <x:col min="9" max="9" width="25" hidden="0" customWidth="1"/>
  </x:cols>
  <x:sheetData>
    <x:row r="1" ht="25.5" customHeight="1">
      <x:c r="A1" s="5" t="str">
        <x:v>Forecast Model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9" t="str">
        <x:v>Forecasts are formula-driven from Historical Financials and Assumptions.</x:v>
      </x:c>
      <x:c r="B2" s="9"/>
      <x:c r="C2" s="9"/>
      <x:c r="D2" s="9"/>
      <x:c r="E2" s="9"/>
      <x:c r="F2" s="9"/>
      <x:c r="G2" s="9"/>
      <x:c r="H2" s="9"/>
    </x:row>
    <x:row r="4">
      <x:c r="A4" s="13" t="str">
        <x:v>Operating Forecast</x:v>
      </x:c>
      <x:c r="B4" s="13"/>
      <x:c r="C4" s="13"/>
      <x:c r="D4" s="13"/>
      <x:c r="E4" s="13"/>
      <x:c r="F4" s="13"/>
      <x:c r="G4" s="13"/>
      <x:c r="H4" s="13"/>
      <x:c r="I4" s="13"/>
    </x:row>
    <x:row r="5">
      <x:c r="A5" s="26" t="str">
        <x:v>Metric ($mm)</x:v>
      </x:c>
      <x:c r="B5" s="26" t="str">
        <x:v>2026A</x:v>
      </x:c>
      <x:c r="C5" s="26" t="str">
        <x:v>2027E</x:v>
      </x:c>
      <x:c r="D5" s="26" t="str">
        <x:v>2028E</x:v>
      </x:c>
      <x:c r="E5" s="26" t="str">
        <x:v>2029E</x:v>
      </x:c>
      <x:c r="F5" s="26" t="str">
        <x:v>2030E</x:v>
      </x:c>
      <x:c r="G5" s="26" t="str">
        <x:v>2031E</x:v>
      </x:c>
      <x:c r="H5" s="26" t="str">
        <x:v>Formula / Source</x:v>
      </x:c>
      <x:c r="I5" s="26" t="str">
        <x:v>Notes</x:v>
      </x:c>
    </x:row>
    <x:row r="6">
      <x:c r="A6" s="28" t="str">
        <x:v>Revenue</x:v>
      </x:c>
      <x:c r="B6" s="89" t="n">
        <x:f>'Historical Financials'!F6</x:f>
        <x:v>4820</x:v>
      </x:c>
      <x:c r="C6" s="90" t="n">
        <x:f>B6*(1+C7)</x:f>
        <x:v>5205.6</x:v>
      </x:c>
      <x:c r="D6" s="90" t="n">
        <x:f>C6*(1+D7)</x:f>
        <x:v>5596.02</x:v>
      </x:c>
      <x:c r="E6" s="90" t="n">
        <x:f>D6*(1+E7)</x:f>
        <x:v>5987.741400000001</x:v>
      </x:c>
      <x:c r="F6" s="90" t="n">
        <x:f>E6*(1+F7)</x:f>
        <x:v>6376.944591</x:v>
      </x:c>
      <x:c r="G6" s="90" t="n">
        <x:f>F6*(1+G7)</x:f>
        <x:v>6759.561266460001</x:v>
      </x:c>
      <x:c r="H6" s="75" t="str">
        <x:v>Hist + growth drivers</x:v>
      </x:c>
      <x:c r="I6" s="76" t="str"/>
    </x:row>
    <x:row r="7">
      <x:c r="A7" s="31" t="str">
        <x:v>Revenue Growth</x:v>
      </x:c>
      <x:c r="B7" s="94" t="n">
        <x:f>'Historical Financials'!F24</x:f>
        <x:v>0.10550458715596323</x:v>
      </x:c>
      <x:c r="C7" s="84" t="n">
        <x:f>'Assumptions'!B17</x:f>
        <x:v>0.08</x:v>
      </x:c>
      <x:c r="D7" s="84" t="n">
        <x:f>'Assumptions'!C17</x:f>
        <x:v>0.075</x:v>
      </x:c>
      <x:c r="E7" s="84" t="n">
        <x:f>'Assumptions'!D17</x:f>
        <x:v>0.07</x:v>
      </x:c>
      <x:c r="F7" s="84" t="n">
        <x:f>'Assumptions'!E17</x:f>
        <x:v>0.065</x:v>
      </x:c>
      <x:c r="G7" s="84" t="n">
        <x:f>'Assumptions'!F17</x:f>
        <x:v>0.06</x:v>
      </x:c>
      <x:c r="H7" s="77" t="str">
        <x:v>Assumptions row 17</x:v>
      </x:c>
      <x:c r="I7" s="78" t="str"/>
    </x:row>
    <x:row r="8">
      <x:c r="A8" s="31" t="str">
        <x:v>Gross Profit</x:v>
      </x:c>
      <x:c r="B8" s="91" t="n">
        <x:f>'Historical Financials'!F7</x:f>
        <x:v>2323</x:v>
      </x:c>
      <x:c r="C8" s="65" t="n">
        <x:f>C6*C9</x:f>
        <x:v>2498.688</x:v>
      </x:c>
      <x:c r="D8" s="65" t="n">
        <x:f>D6*D9</x:f>
        <x:v>2714.0697</x:v>
      </x:c>
      <x:c r="E8" s="65" t="n">
        <x:f>E6*E9</x:f>
        <x:v>2933.9932860000004</x:v>
      </x:c>
      <x:c r="F8" s="65" t="n">
        <x:f>F6*F9</x:f>
        <x:v>3156.587572545</x:v>
      </x:c>
      <x:c r="G8" s="65" t="n">
        <x:f>G6*G9</x:f>
        <x:v>3379.7806332300006</x:v>
      </x:c>
      <x:c r="H8" s="77" t="str">
        <x:v>Revenue x gross margin</x:v>
      </x:c>
      <x:c r="I8" s="78" t="str"/>
    </x:row>
    <x:row r="9">
      <x:c r="A9" s="31" t="str">
        <x:v>Gross Margin</x:v>
      </x:c>
      <x:c r="B9" s="94" t="n">
        <x:f>'Historical Financials'!F25</x:f>
        <x:v>0.4819502074688797</x:v>
      </x:c>
      <x:c r="C9" s="84" t="n">
        <x:f>'Assumptions'!B18</x:f>
        <x:v>0.48</x:v>
      </x:c>
      <x:c r="D9" s="84" t="n">
        <x:f>'Assumptions'!C18</x:f>
        <x:v>0.485</x:v>
      </x:c>
      <x:c r="E9" s="84" t="n">
        <x:f>'Assumptions'!D18</x:f>
        <x:v>0.49</x:v>
      </x:c>
      <x:c r="F9" s="84" t="n">
        <x:f>'Assumptions'!E18</x:f>
        <x:v>0.495</x:v>
      </x:c>
      <x:c r="G9" s="84" t="n">
        <x:f>'Assumptions'!F18</x:f>
        <x:v>0.5</x:v>
      </x:c>
      <x:c r="H9" s="77" t="str">
        <x:v>Assumptions row 18</x:v>
      </x:c>
      <x:c r="I9" s="78" t="str"/>
    </x:row>
    <x:row r="10">
      <x:c r="A10" s="31" t="str">
        <x:v>SG&amp;A</x:v>
      </x:c>
      <x:c r="B10" s="91" t="n">
        <x:f>'Historical Financials'!F8</x:f>
        <x:v>-1060</x:v>
      </x:c>
      <x:c r="C10" s="65" t="n">
        <x:f>-C6*C11</x:f>
        <x:v>-1145.2320000000002</x:v>
      </x:c>
      <x:c r="D10" s="65" t="n">
        <x:f>-D6*D11</x:f>
        <x:v>-1203.1443000000002</x:v>
      </x:c>
      <x:c r="E10" s="65" t="n">
        <x:f>-E6*E11</x:f>
        <x:v>-1257.425694</x:v>
      </x:c>
      <x:c r="F10" s="65" t="n">
        <x:f>-F6*F11</x:f>
        <x:v>-1307.273641155</x:v>
      </x:c>
      <x:c r="G10" s="65" t="n">
        <x:f>-G6*G11</x:f>
        <x:v>-1351.9122532920003</x:v>
      </x:c>
      <x:c r="H10" s="77" t="str">
        <x:v>Revenue x SG&amp;A %</x:v>
      </x:c>
      <x:c r="I10" s="78" t="str"/>
    </x:row>
    <x:row r="11">
      <x:c r="A11" s="31" t="str">
        <x:v>SG&amp;A % Revenue</x:v>
      </x:c>
      <x:c r="B11" s="94" t="n">
        <x:f>-B10/B6</x:f>
        <x:v>0.21991701244813278</x:v>
      </x:c>
      <x:c r="C11" s="84" t="n">
        <x:f>'Assumptions'!B19</x:f>
        <x:v>0.22</x:v>
      </x:c>
      <x:c r="D11" s="84" t="n">
        <x:f>'Assumptions'!C19</x:f>
        <x:v>0.215</x:v>
      </x:c>
      <x:c r="E11" s="84" t="n">
        <x:f>'Assumptions'!D19</x:f>
        <x:v>0.21</x:v>
      </x:c>
      <x:c r="F11" s="84" t="n">
        <x:f>'Assumptions'!E19</x:f>
        <x:v>0.205</x:v>
      </x:c>
      <x:c r="G11" s="84" t="n">
        <x:f>'Assumptions'!F19</x:f>
        <x:v>0.2</x:v>
      </x:c>
      <x:c r="H11" s="77" t="str">
        <x:v>Assumptions row 19</x:v>
      </x:c>
      <x:c r="I11" s="78" t="str"/>
    </x:row>
    <x:row r="12">
      <x:c r="A12" s="31" t="str">
        <x:v>R&amp;D</x:v>
      </x:c>
      <x:c r="B12" s="91" t="n">
        <x:f>'Historical Financials'!F9</x:f>
        <x:v>-425</x:v>
      </x:c>
      <x:c r="C12" s="65" t="n">
        <x:f>-C6*C13</x:f>
        <x:v>-468.504</x:v>
      </x:c>
      <x:c r="D12" s="65" t="n">
        <x:f>-D6*D13</x:f>
        <x:v>-492.44976</x:v>
      </x:c>
      <x:c r="E12" s="65" t="n">
        <x:f>-E6*E13</x:f>
        <x:v>-514.9457604</x:v>
      </x:c>
      <x:c r="F12" s="65" t="n">
        <x:f>-F6*F13</x:f>
        <x:v>-535.6633456440001</x:v>
      </x:c>
      <x:c r="G12" s="65" t="n">
        <x:f>-G6*G13</x:f>
        <x:v>-554.2840238497201</x:v>
      </x:c>
      <x:c r="H12" s="77" t="str">
        <x:v>Revenue x R&amp;D %</x:v>
      </x:c>
      <x:c r="I12" s="78" t="str"/>
    </x:row>
    <x:row r="13">
      <x:c r="A13" s="31" t="str">
        <x:v>R&amp;D % Revenue</x:v>
      </x:c>
      <x:c r="B13" s="94" t="n">
        <x:f>-B12/B6</x:f>
        <x:v>0.08817427385892117</x:v>
      </x:c>
      <x:c r="C13" s="84" t="n">
        <x:f>'Assumptions'!B20</x:f>
        <x:v>0.09</x:v>
      </x:c>
      <x:c r="D13" s="84" t="n">
        <x:f>'Assumptions'!C20</x:f>
        <x:v>0.088</x:v>
      </x:c>
      <x:c r="E13" s="84" t="n">
        <x:f>'Assumptions'!D20</x:f>
        <x:v>0.086</x:v>
      </x:c>
      <x:c r="F13" s="84" t="n">
        <x:f>'Assumptions'!E20</x:f>
        <x:v>0.084</x:v>
      </x:c>
      <x:c r="G13" s="84" t="n">
        <x:f>'Assumptions'!F20</x:f>
        <x:v>0.082</x:v>
      </x:c>
      <x:c r="H13" s="77" t="str">
        <x:v>Assumptions row 20</x:v>
      </x:c>
      <x:c r="I13" s="78" t="str"/>
    </x:row>
    <x:row r="14">
      <x:c r="A14" s="31" t="str">
        <x:v>EBITDA</x:v>
      </x:c>
      <x:c r="B14" s="91" t="n">
        <x:f>'Historical Financials'!F10</x:f>
        <x:v>1000</x:v>
      </x:c>
      <x:c r="C14" s="65" t="n">
        <x:f>C8+C10+C12</x:f>
        <x:v>884.9519999999999</x:v>
      </x:c>
      <x:c r="D14" s="65" t="n">
        <x:f>D8+D10+D12</x:f>
        <x:v>1018.4756399999999</x:v>
      </x:c>
      <x:c r="E14" s="65" t="n">
        <x:f>E8+E10+E12</x:f>
        <x:v>1161.6218316000004</x:v>
      </x:c>
      <x:c r="F14" s="65" t="n">
        <x:f>F8+F10+F12</x:f>
        <x:v>1313.6505857460002</x:v>
      </x:c>
      <x:c r="G14" s="65" t="n">
        <x:f>G8+G10+G12</x:f>
        <x:v>1473.5843560882802</x:v>
      </x:c>
      <x:c r="H14" s="77" t="str">
        <x:v>Gross profit less opex</x:v>
      </x:c>
      <x:c r="I14" s="78" t="str"/>
    </x:row>
    <x:row r="15">
      <x:c r="A15" s="31" t="str">
        <x:v>EBITDA Margin</x:v>
      </x:c>
      <x:c r="B15" s="94" t="n">
        <x:f>B14/B6</x:f>
        <x:v>0.2074688796680498</x:v>
      </x:c>
      <x:c r="C15" s="84" t="n">
        <x:f>C14/C6</x:f>
        <x:v>0.16999999999999996</x:v>
      </x:c>
      <x:c r="D15" s="84" t="n">
        <x:f>D14/D6</x:f>
        <x:v>0.18199999999999997</x:v>
      </x:c>
      <x:c r="E15" s="84" t="n">
        <x:f>E14/E6</x:f>
        <x:v>0.19400000000000003</x:v>
      </x:c>
      <x:c r="F15" s="84" t="n">
        <x:f>F14/F6</x:f>
        <x:v>0.20600000000000002</x:v>
      </x:c>
      <x:c r="G15" s="84" t="n">
        <x:f>G14/G6</x:f>
        <x:v>0.218</x:v>
      </x:c>
      <x:c r="H15" s="77" t="str">
        <x:v>EBITDA / revenue</x:v>
      </x:c>
      <x:c r="I15" s="78" t="str"/>
    </x:row>
    <x:row r="16">
      <x:c r="A16" s="31" t="str">
        <x:v>D&amp;A</x:v>
      </x:c>
      <x:c r="B16" s="91" t="n">
        <x:f>'Historical Financials'!F11</x:f>
        <x:v>-166</x:v>
      </x:c>
      <x:c r="C16" s="65" t="n">
        <x:f>-C6*'Assumptions'!B21</x:f>
        <x:v>-182.19600000000003</x:v>
      </x:c>
      <x:c r="D16" s="65" t="n">
        <x:f>-D6*'Assumptions'!C21</x:f>
        <x:v>-190.26468000000003</x:v>
      </x:c>
      <x:c r="E16" s="65" t="n">
        <x:f>-E6*'Assumptions'!D21</x:f>
        <x:v>-197.59546620000003</x:v>
      </x:c>
      <x:c r="F16" s="65" t="n">
        <x:f>-F6*'Assumptions'!E21</x:f>
        <x:v>-204.06222691200003</x:v>
      </x:c>
      <x:c r="G16" s="65" t="n">
        <x:f>-G6*'Assumptions'!F21</x:f>
        <x:v>-209.54639926026005</x:v>
      </x:c>
      <x:c r="H16" s="77" t="str">
        <x:v>Revenue x D&amp;A %</x:v>
      </x:c>
      <x:c r="I16" s="78" t="str"/>
    </x:row>
    <x:row r="17">
      <x:c r="A17" s="31" t="str">
        <x:v>EBIT</x:v>
      </x:c>
      <x:c r="B17" s="91" t="n">
        <x:f>'Historical Financials'!F12</x:f>
        <x:v>834</x:v>
      </x:c>
      <x:c r="C17" s="65" t="n">
        <x:f>C14+C16</x:f>
        <x:v>702.7559999999999</x:v>
      </x:c>
      <x:c r="D17" s="65" t="n">
        <x:f>D14+D16</x:f>
        <x:v>828.2109599999999</x:v>
      </x:c>
      <x:c r="E17" s="65" t="n">
        <x:f>E14+E16</x:f>
        <x:v>964.0263654000004</x:v>
      </x:c>
      <x:c r="F17" s="65" t="n">
        <x:f>F14+F16</x:f>
        <x:v>1109.5883588340002</x:v>
      </x:c>
      <x:c r="G17" s="65" t="n">
        <x:f>G14+G16</x:f>
        <x:v>1264.03795682802</x:v>
      </x:c>
      <x:c r="H17" s="77" t="str">
        <x:v>EBITDA less D&amp;A</x:v>
      </x:c>
      <x:c r="I17" s="78" t="str"/>
    </x:row>
    <x:row r="18">
      <x:c r="A18" s="31" t="str">
        <x:v>Cash Taxes</x:v>
      </x:c>
      <x:c r="B18" s="91" t="n">
        <x:f>'Historical Financials'!F13</x:f>
        <x:v>-183</x:v>
      </x:c>
      <x:c r="C18" s="65" t="n">
        <x:f>-C17*'Assumptions'!B24</x:f>
        <x:v>-154.60631999999998</x:v>
      </x:c>
      <x:c r="D18" s="65" t="n">
        <x:f>-D17*'Assumptions'!C24</x:f>
        <x:v>-182.20641119999996</x:v>
      </x:c>
      <x:c r="E18" s="65" t="n">
        <x:f>-E17*'Assumptions'!D24</x:f>
        <x:v>-212.08580038800008</x:v>
      </x:c>
      <x:c r="F18" s="65" t="n">
        <x:f>-F17*'Assumptions'!E24</x:f>
        <x:v>-244.10943894348006</x:v>
      </x:c>
      <x:c r="G18" s="65" t="n">
        <x:f>-G17*'Assumptions'!F24</x:f>
        <x:v>-278.0883505021644</x:v>
      </x:c>
      <x:c r="H18" s="77" t="str">
        <x:v>EBIT x cash tax rate</x:v>
      </x:c>
      <x:c r="I18" s="78" t="str"/>
    </x:row>
    <x:row r="19">
      <x:c r="A19" s="31" t="str">
        <x:v>Capex</x:v>
      </x:c>
      <x:c r="B19" s="91" t="n">
        <x:f>'Historical Financials'!F14</x:f>
        <x:v>-268</x:v>
      </x:c>
      <x:c r="C19" s="65" t="n">
        <x:f>-C6*'Assumptions'!B22</x:f>
        <x:v>-286.30800000000005</x:v>
      </x:c>
      <x:c r="D19" s="65" t="n">
        <x:f>-D6*'Assumptions'!C22</x:f>
        <x:v>-302.18508</x:v>
      </x:c>
      <x:c r="E19" s="65" t="n">
        <x:f>-E6*'Assumptions'!D22</x:f>
        <x:v>-317.3502942</x:v>
      </x:c>
      <x:c r="F19" s="65" t="n">
        <x:f>-F6*'Assumptions'!E22</x:f>
        <x:v>-331.60111873200003</x:v>
      </x:c>
      <x:c r="G19" s="65" t="n">
        <x:f>-G6*'Assumptions'!F22</x:f>
        <x:v>-337.9780633230001</x:v>
      </x:c>
      <x:c r="H19" s="77" t="str">
        <x:v>Revenue x capex %</x:v>
      </x:c>
      <x:c r="I19" s="78" t="str"/>
    </x:row>
    <x:row r="20">
      <x:c r="A20" s="31" t="str">
        <x:v>Net Working Capital</x:v>
      </x:c>
      <x:c r="B20" s="91" t="n">
        <x:f>'Historical Financials'!F15</x:f>
        <x:v>550</x:v>
      </x:c>
      <x:c r="C20" s="65" t="n">
        <x:f>C6*'Assumptions'!B23</x:f>
        <x:v>624.672</x:v>
      </x:c>
      <x:c r="D20" s="65" t="n">
        <x:f>D6*'Assumptions'!C23</x:f>
        <x:v>660.33036</x:v>
      </x:c>
      <x:c r="E20" s="65" t="n">
        <x:f>E6*'Assumptions'!D23</x:f>
        <x:v>694.5780024000002</x:v>
      </x:c>
      <x:c r="F20" s="65" t="n">
        <x:f>F6*'Assumptions'!E23</x:f>
        <x:v>726.9716833740001</x:v>
      </x:c>
      <x:c r="G20" s="65" t="n">
        <x:f>G6*'Assumptions'!F23</x:f>
        <x:v>757.0708618435201</x:v>
      </x:c>
      <x:c r="H20" s="77" t="str">
        <x:v>Revenue x NWC %</x:v>
      </x:c>
      <x:c r="I20" s="78" t="str"/>
    </x:row>
    <x:row r="21">
      <x:c r="A21" s="31" t="str">
        <x:v>Change in NWC</x:v>
      </x:c>
      <x:c r="B21" s="91" t="n">
        <x:f>'Historical Financials'!F16</x:f>
        <x:v>45</x:v>
      </x:c>
      <x:c r="C21" s="65" t="n">
        <x:f>C20-B20</x:f>
        <x:v>74.67200000000003</x:v>
      </x:c>
      <x:c r="D21" s="65" t="n">
        <x:f>D20-C20</x:f>
        <x:v>35.658360000000016</x:v>
      </x:c>
      <x:c r="E21" s="65" t="n">
        <x:f>E20-D20</x:f>
        <x:v>34.24764240000013</x:v>
      </x:c>
      <x:c r="F21" s="65" t="n">
        <x:f>F20-E20</x:f>
        <x:v>32.39368097399995</x:v>
      </x:c>
      <x:c r="G21" s="65" t="n">
        <x:f>G20-F20</x:f>
        <x:v>30.099178469519984</x:v>
      </x:c>
      <x:c r="H21" s="77" t="str">
        <x:v>Year-over-year change</x:v>
      </x:c>
      <x:c r="I21" s="78" t="str"/>
    </x:row>
    <x:row r="22">
      <x:c r="A22" s="34" t="str">
        <x:v>Unlevered FCF</x:v>
      </x:c>
      <x:c r="B22" s="92" t="n">
        <x:f>'Historical Financials'!F17</x:f>
        <x:v>504</x:v>
      </x:c>
      <x:c r="C22" s="93" t="n">
        <x:f>C17+C18-C16+C19-C21</x:f>
        <x:v>369.3656799999998</x:v>
      </x:c>
      <x:c r="D22" s="93" t="n">
        <x:f>D17+D18-D16+D19-D21</x:f>
        <x:v>498.42578879999985</x:v>
      </x:c>
      <x:c r="E22" s="93" t="n">
        <x:f>E17+E18-E16+E19-E21</x:f>
        <x:v>597.9380946120002</x:v>
      </x:c>
      <x:c r="F22" s="93" t="n">
        <x:f>F17+F18-F16+F19-F21</x:f>
        <x:v>705.5463470965202</x:v>
      </x:c>
      <x:c r="G22" s="93" t="n">
        <x:f>G17+G18-G16+G19-G21</x:f>
        <x:v>827.4187637935956</x:v>
      </x:c>
      <x:c r="H22" s="79" t="str">
        <x:v>EBIT + cash taxes - D&amp;A + capex - change in NWC</x:v>
      </x:c>
      <x:c r="I22" s="80" t="str"/>
    </x:row>
  </x:sheetData>
  <x:mergeCells>
    <x:mergeCell ref="A1:I1"/>
    <x:mergeCell ref="A2:H2"/>
    <x:mergeCell ref="A4:I4"/>
  </x:mergeCells>
  <x:pageMargins left="0.7" right="0.7" top="0.75" bottom="0.75" header="0.3" footer="0.3"/>
  <x:tableParts count="1">
    <x:tablePart xmlns:r="http://schemas.openxmlformats.org/officeDocument/2006/relationships" r:id="Reb9b915d0c0e42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5" hidden="0" customWidth="1"/>
    <x:col min="8" max="8" width="15" hidden="0" customWidth="1"/>
    <x:col min="9" max="9" width="22.5" hidden="0" customWidth="1"/>
  </x:cols>
  <x:sheetData>
    <x:row r="1" ht="25.5" customHeight="1">
      <x:c r="A1" s="5" t="str">
        <x:v>DCF Valuation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9" t="str">
        <x:v>Enterprise value, equity value, and implied share price based on forecast free cash flow.</x:v>
      </x:c>
      <x:c r="B2" s="9"/>
      <x:c r="C2" s="9"/>
      <x:c r="D2" s="9"/>
      <x:c r="E2" s="9"/>
      <x:c r="F2" s="9"/>
      <x:c r="G2" s="9"/>
      <x:c r="H2" s="9"/>
    </x:row>
    <x:row r="4">
      <x:c r="A4" s="13" t="str">
        <x:v>DCF Build</x:v>
      </x:c>
      <x:c r="B4" s="13"/>
      <x:c r="C4" s="13"/>
      <x:c r="D4" s="13"/>
      <x:c r="E4" s="13"/>
      <x:c r="F4" s="13"/>
      <x:c r="G4" s="13"/>
      <x:c r="H4" s="13"/>
      <x:c r="I4" s="13"/>
    </x:row>
    <x:row r="5">
      <x:c r="A5" s="26" t="str">
        <x:v>Metric</x:v>
      </x:c>
      <x:c r="B5" s="26" t="str">
        <x:v>2027E</x:v>
      </x:c>
      <x:c r="C5" s="26" t="str">
        <x:v>2028E</x:v>
      </x:c>
      <x:c r="D5" s="26" t="str">
        <x:v>2029E</x:v>
      </x:c>
      <x:c r="E5" s="26" t="str">
        <x:v>2030E</x:v>
      </x:c>
      <x:c r="F5" s="26" t="str">
        <x:v>2031E</x:v>
      </x:c>
      <x:c r="G5" s="26" t="str">
        <x:v>Terminal</x:v>
      </x:c>
      <x:c r="H5" s="26" t="str">
        <x:v>Source</x:v>
      </x:c>
      <x:c r="I5" s="26" t="str">
        <x:v>Notes</x:v>
      </x:c>
    </x:row>
    <x:row r="6">
      <x:c r="A6" s="28" t="str">
        <x:v>Unlevered FCF</x:v>
      </x:c>
      <x:c r="B6" s="89" t="n">
        <x:f>'Forecast Model'!C22</x:f>
        <x:v>369.3656799999998</x:v>
      </x:c>
      <x:c r="C6" s="89" t="n">
        <x:f>'Forecast Model'!D22</x:f>
        <x:v>498.42578879999985</x:v>
      </x:c>
      <x:c r="D6" s="89" t="n">
        <x:f>'Forecast Model'!E22</x:f>
        <x:v>597.9380946120002</x:v>
      </x:c>
      <x:c r="E6" s="89" t="n">
        <x:f>'Forecast Model'!F22</x:f>
        <x:v>705.5463470965202</x:v>
      </x:c>
      <x:c r="F6" s="89" t="n">
        <x:f>'Forecast Model'!G22</x:f>
        <x:v>827.4187637935956</x:v>
      </x:c>
      <x:c r="G6" s="95" t="str"/>
      <x:c r="H6" s="75" t="str">
        <x:v>Forecast Model</x:v>
      </x:c>
      <x:c r="I6" s="76" t="str"/>
    </x:row>
    <x:row r="7">
      <x:c r="A7" s="31" t="str">
        <x:v>WACC</x:v>
      </x:c>
      <x:c r="B7" s="94" t="n">
        <x:f>'Assumptions'!B29</x:f>
        <x:v>0.095</x:v>
      </x:c>
      <x:c r="C7" s="94" t="n">
        <x:f>'Assumptions'!B29</x:f>
        <x:v>0.095</x:v>
      </x:c>
      <x:c r="D7" s="94" t="n">
        <x:f>'Assumptions'!B29</x:f>
        <x:v>0.095</x:v>
      </x:c>
      <x:c r="E7" s="94" t="n">
        <x:f>'Assumptions'!B29</x:f>
        <x:v>0.095</x:v>
      </x:c>
      <x:c r="F7" s="94" t="n">
        <x:f>'Assumptions'!B29</x:f>
        <x:v>0.095</x:v>
      </x:c>
      <x:c r="G7" s="53" t="str"/>
      <x:c r="H7" s="77" t="str">
        <x:v>Assumptions</x:v>
      </x:c>
      <x:c r="I7" s="78" t="str"/>
    </x:row>
    <x:row r="8">
      <x:c r="A8" s="31" t="str">
        <x:v>Discount Factor</x:v>
      </x:c>
      <x:c r="B8" s="96" t="n">
        <x:f>1/(1+B7)^0.5</x:f>
        <x:v>0.9556369651349932</x:v>
      </x:c>
      <x:c r="C8" s="96" t="n">
        <x:f>1/(1+C7)^1.5</x:f>
        <x:v>0.8727278220410896</x:v>
      </x:c>
      <x:c r="D8" s="96" t="n">
        <x:f>1/(1+D7)^2.5</x:f>
        <x:v>0.797011709626566</x:v>
      </x:c>
      <x:c r="E8" s="96" t="n">
        <x:f>1/(1+E7)^3.5</x:f>
        <x:v>0.7278645750014301</x:v>
      </x:c>
      <x:c r="F8" s="96" t="n">
        <x:f>1/(1+F7)^4.5</x:f>
        <x:v>0.6647165068506211</x:v>
      </x:c>
      <x:c r="G8" s="96" t="str"/>
      <x:c r="H8" s="77" t="str">
        <x:v>Mid-year convention</x:v>
      </x:c>
      <x:c r="I8" s="78" t="str"/>
    </x:row>
    <x:row r="9">
      <x:c r="A9" s="31" t="str">
        <x:v>PV of FCF</x:v>
      </x:c>
      <x:c r="B9" s="65" t="n">
        <x:f>B6*B8</x:f>
        <x:v>352.9794974602229</x:v>
      </x:c>
      <x:c r="C9" s="65" t="n">
        <x:f>C6*C8</x:f>
        <x:v>434.99005310853596</x:v>
      </x:c>
      <x:c r="D9" s="65" t="n">
        <x:f>D6*D8</x:f>
        <x:v>476.56366303756164</x:v>
      </x:c>
      <x:c r="E9" s="65" t="n">
        <x:f>E6*E8</x:f>
        <x:v>513.5421920732201</x:v>
      </x:c>
      <x:c r="F9" s="65" t="n">
        <x:f>F6*F8</x:f>
        <x:v>549.998910371538</x:v>
      </x:c>
      <x:c r="G9" s="65" t="str"/>
      <x:c r="H9" s="77" t="str">
        <x:v>FCF x discount factor</x:v>
      </x:c>
      <x:c r="I9" s="78" t="str"/>
    </x:row>
    <x:row r="10">
      <x:c r="A10" s="31" t="str">
        <x:v>Terminal Growth</x:v>
      </x:c>
      <x:c r="B10" s="84" t="n">
        <x:f>'Assumptions'!G29</x:f>
        <x:v>0.025</x:v>
      </x:c>
      <x:c r="C10" s="84" t="n">
        <x:f>'Assumptions'!G29</x:f>
        <x:v>0.025</x:v>
      </x:c>
      <x:c r="D10" s="84" t="n">
        <x:f>'Assumptions'!G29</x:f>
        <x:v>0.025</x:v>
      </x:c>
      <x:c r="E10" s="84" t="n">
        <x:f>'Assumptions'!G29</x:f>
        <x:v>0.025</x:v>
      </x:c>
      <x:c r="F10" s="84" t="n">
        <x:f>'Assumptions'!G29</x:f>
        <x:v>0.025</x:v>
      </x:c>
      <x:c r="G10" s="84" t="str"/>
      <x:c r="H10" s="77" t="str">
        <x:v>Assumptions</x:v>
      </x:c>
      <x:c r="I10" s="78" t="str"/>
    </x:row>
    <x:row r="11">
      <x:c r="A11" s="31" t="str">
        <x:v>Terminal Value</x:v>
      </x:c>
      <x:c r="B11" s="65" t="str"/>
      <x:c r="C11" s="65" t="str"/>
      <x:c r="D11" s="65" t="str"/>
      <x:c r="E11" s="65" t="str"/>
      <x:c r="F11" s="65" t="str"/>
      <x:c r="G11" s="65" t="n">
        <x:f>F6*(1+F10)/(F7-F10)</x:f>
        <x:v>12115.774755549077</x:v>
      </x:c>
      <x:c r="H11" s="77" t="str">
        <x:v>Gordon Growth</x:v>
      </x:c>
      <x:c r="I11" s="78" t="str"/>
    </x:row>
    <x:row r="12">
      <x:c r="A12" s="31" t="str">
        <x:v>PV of Terminal Value</x:v>
      </x:c>
      <x:c r="B12" s="65" t="str"/>
      <x:c r="C12" s="65" t="str"/>
      <x:c r="D12" s="65" t="str"/>
      <x:c r="E12" s="65" t="str"/>
      <x:c r="F12" s="65" t="str"/>
      <x:c r="G12" s="65" t="n">
        <x:f>G11*F8</x:f>
        <x:v>8053.555473297521</x:v>
      </x:c>
      <x:c r="H12" s="77" t="str">
        <x:v>Terminal value x FY5 discount factor</x:v>
      </x:c>
      <x:c r="I12" s="78" t="str"/>
    </x:row>
    <x:row r="13">
      <x:c r="A13" s="31" t="str"/>
      <x:c r="B13" s="62" t="str"/>
      <x:c r="C13" s="62" t="str"/>
      <x:c r="D13" s="62" t="str"/>
      <x:c r="E13" s="62" t="str"/>
      <x:c r="F13" s="62" t="str"/>
      <x:c r="G13" s="62" t="str"/>
      <x:c r="H13" s="77" t="str"/>
      <x:c r="I13" s="78" t="str"/>
    </x:row>
    <x:row r="14">
      <x:c r="A14" s="31" t="str">
        <x:v>Enterprise Value</x:v>
      </x:c>
      <x:c r="B14" s="65" t="n">
        <x:f>SUM(B9:F9)+G12</x:f>
        <x:v>10381.629789348599</x:v>
      </x:c>
      <x:c r="C14" s="62" t="str"/>
      <x:c r="D14" s="62" t="str"/>
      <x:c r="E14" s="62" t="str"/>
      <x:c r="F14" s="62" t="str"/>
      <x:c r="G14" s="62" t="str"/>
      <x:c r="H14" s="77" t="str">
        <x:v>Sum PVs</x:v>
      </x:c>
      <x:c r="I14" s="78" t="str"/>
    </x:row>
    <x:row r="15">
      <x:c r="A15" s="31" t="str">
        <x:v>Cash &amp; Equivalents</x:v>
      </x:c>
      <x:c r="B15" s="65" t="n">
        <x:f>'Assumptions'!G30</x:f>
        <x:v>520</x:v>
      </x:c>
      <x:c r="C15" s="62" t="str"/>
      <x:c r="D15" s="62" t="str"/>
      <x:c r="E15" s="62" t="str"/>
      <x:c r="F15" s="62" t="str"/>
      <x:c r="G15" s="62" t="str"/>
      <x:c r="H15" s="77" t="str">
        <x:v>Assumptions</x:v>
      </x:c>
      <x:c r="I15" s="78" t="str"/>
    </x:row>
    <x:row r="16">
      <x:c r="A16" s="31" t="str">
        <x:v>Debt</x:v>
      </x:c>
      <x:c r="B16" s="65" t="n">
        <x:f>'Assumptions'!B31</x:f>
        <x:v>980</x:v>
      </x:c>
      <x:c r="C16" s="62" t="str"/>
      <x:c r="D16" s="62" t="str"/>
      <x:c r="E16" s="62" t="str"/>
      <x:c r="F16" s="62" t="str"/>
      <x:c r="G16" s="62" t="str"/>
      <x:c r="H16" s="77" t="str">
        <x:v>Assumptions</x:v>
      </x:c>
      <x:c r="I16" s="78" t="str"/>
    </x:row>
    <x:row r="17">
      <x:c r="A17" s="31" t="str">
        <x:v>Minority Interest</x:v>
      </x:c>
      <x:c r="B17" s="65" t="n">
        <x:f>'Assumptions'!B32</x:f>
        <x:v>0</x:v>
      </x:c>
      <x:c r="C17" s="62" t="str"/>
      <x:c r="D17" s="62" t="str"/>
      <x:c r="E17" s="62" t="str"/>
      <x:c r="F17" s="62" t="str"/>
      <x:c r="G17" s="62" t="str"/>
      <x:c r="H17" s="77" t="str">
        <x:v>Assumptions</x:v>
      </x:c>
      <x:c r="I17" s="78" t="str"/>
    </x:row>
    <x:row r="18">
      <x:c r="A18" s="31" t="str">
        <x:v>Investments / Other Assets</x:v>
      </x:c>
      <x:c r="B18" s="65" t="n">
        <x:f>'Assumptions'!G32</x:f>
        <x:v>75</x:v>
      </x:c>
      <x:c r="C18" s="62" t="str"/>
      <x:c r="D18" s="62" t="str"/>
      <x:c r="E18" s="62" t="str"/>
      <x:c r="F18" s="62" t="str"/>
      <x:c r="G18" s="62" t="str"/>
      <x:c r="H18" s="77" t="str">
        <x:v>Assumptions</x:v>
      </x:c>
      <x:c r="I18" s="78" t="str"/>
    </x:row>
    <x:row r="19">
      <x:c r="A19" s="31" t="str">
        <x:v>Equity Value</x:v>
      </x:c>
      <x:c r="B19" s="65" t="n">
        <x:f>B14+B15-B16-B17+B18</x:f>
        <x:v>9996.629789348599</x:v>
      </x:c>
      <x:c r="C19" s="62" t="str"/>
      <x:c r="D19" s="62" t="str"/>
      <x:c r="E19" s="62" t="str"/>
      <x:c r="F19" s="62" t="str"/>
      <x:c r="G19" s="62" t="str"/>
      <x:c r="H19" s="77" t="str">
        <x:v>EV + cash - debt - MI + investments</x:v>
      </x:c>
      <x:c r="I19" s="78" t="str"/>
    </x:row>
    <x:row r="20">
      <x:c r="A20" s="31" t="str">
        <x:v>Diluted Shares</x:v>
      </x:c>
      <x:c r="B20" s="97" t="n">
        <x:f>'Assumptions'!G31</x:f>
        <x:v>210</x:v>
      </x:c>
      <x:c r="C20" s="62" t="str"/>
      <x:c r="D20" s="62" t="str"/>
      <x:c r="E20" s="62" t="str"/>
      <x:c r="F20" s="62" t="str"/>
      <x:c r="G20" s="62" t="str"/>
      <x:c r="H20" s="77" t="str">
        <x:v>Assumptions</x:v>
      </x:c>
      <x:c r="I20" s="78" t="str"/>
    </x:row>
    <x:row r="21">
      <x:c r="A21" s="31" t="str">
        <x:v>Implied Share Price</x:v>
      </x:c>
      <x:c r="B21" s="98" t="n">
        <x:f>B19/B20</x:f>
        <x:v>47.60299899689809</x:v>
      </x:c>
      <x:c r="C21" s="62" t="str"/>
      <x:c r="D21" s="62" t="str"/>
      <x:c r="E21" s="62" t="str"/>
      <x:c r="F21" s="62" t="str"/>
      <x:c r="G21" s="62" t="str"/>
      <x:c r="H21" s="77" t="str">
        <x:v>Equity value / shares</x:v>
      </x:c>
      <x:c r="I21" s="78" t="str"/>
    </x:row>
    <x:row r="22">
      <x:c r="A22" s="31" t="str">
        <x:v>Exit EBITDA Multiple</x:v>
      </x:c>
      <x:c r="B22" s="99" t="n">
        <x:f>B14/'Forecast Model'!G14</x:f>
        <x:v>7.0451547252491675</x:v>
      </x:c>
      <x:c r="C22" s="62" t="str"/>
      <x:c r="D22" s="62" t="str"/>
      <x:c r="E22" s="62" t="str"/>
      <x:c r="F22" s="62" t="str"/>
      <x:c r="G22" s="62" t="str"/>
      <x:c r="H22" s="77" t="str">
        <x:v>EV / FY5 EBITDA</x:v>
      </x:c>
      <x:c r="I22" s="78" t="str"/>
    </x:row>
    <x:row r="23">
      <x:c r="A23" s="34" t="str">
        <x:v>FCF Yield on EV</x:v>
      </x:c>
      <x:c r="B23" s="85" t="n">
        <x:f>'Forecast Model'!C22/B14</x:f>
        <x:v>0.03557877592388852</x:v>
      </x:c>
      <x:c r="C23" s="82" t="str"/>
      <x:c r="D23" s="82" t="str"/>
      <x:c r="E23" s="82" t="str"/>
      <x:c r="F23" s="82" t="str"/>
      <x:c r="G23" s="82" t="str"/>
      <x:c r="H23" s="79" t="str">
        <x:v>FY1 FCF / EV</x:v>
      </x:c>
      <x:c r="I23" s="80" t="str"/>
    </x:row>
  </x:sheetData>
  <x:mergeCells>
    <x:mergeCell ref="A1:I1"/>
    <x:mergeCell ref="A2:H2"/>
    <x:mergeCell ref="A4:I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22.5" hidden="0" customWidth="1"/>
  </x:cols>
  <x:sheetData>
    <x:row r="1" ht="25.5" customHeight="1">
      <x:c r="A1" s="5" t="str">
        <x:v>Valuation Sensitivity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9" t="str">
        <x:v>Implied share price sensitivity to WACC and terminal growth assumptions.</x:v>
      </x:c>
      <x:c r="B2" s="9"/>
      <x:c r="C2" s="9"/>
      <x:c r="D2" s="9"/>
      <x:c r="E2" s="9"/>
      <x:c r="F2" s="9"/>
      <x:c r="G2" s="9"/>
      <x:c r="H2" s="9"/>
    </x:row>
    <x:row r="4">
      <x:c r="A4" s="13" t="str">
        <x:v>DCF Sensitivity - Share Price</x:v>
      </x:c>
      <x:c r="B4" s="13"/>
      <x:c r="C4" s="13"/>
      <x:c r="D4" s="13"/>
      <x:c r="E4" s="13"/>
      <x:c r="F4" s="13"/>
      <x:c r="G4" s="13"/>
      <x:c r="H4" s="13"/>
      <x:c r="I4" s="13"/>
    </x:row>
    <x:row r="5">
      <x:c r="A5" s="26" t="str">
        <x:v>Terminal Growth \ WACC</x:v>
      </x:c>
      <x:c r="B5" s="103" t="n">
        <x:v>0.085</x:v>
      </x:c>
      <x:c r="C5" s="103" t="n">
        <x:v>0.09</x:v>
      </x:c>
      <x:c r="D5" s="103" t="n">
        <x:v>0.095</x:v>
      </x:c>
      <x:c r="E5" s="103" t="n">
        <x:v>0.1</x:v>
      </x:c>
      <x:c r="F5" s="103" t="n">
        <x:v>0.105</x:v>
      </x:c>
      <x:c r="G5" s="103" t="n">
        <x:v>0.11</x:v>
      </x:c>
      <x:c r="I5" s="26" t="str">
        <x:v>Scenario</x:v>
      </x:c>
      <x:c r="J5" s="26"/>
    </x:row>
    <x:row r="6">
      <x:c r="A6" s="100" t="n">
        <x:v>0.015</x:v>
      </x:c>
      <x:c r="B6" s="110" t="n">
        <x:f>((SUM('DCF Valuation'!$B$9:$F$9)+('DCF Valuation'!$F$6*(1+$A6)/(B$5-$A6)*'DCF Valuation'!$F$8))+'Assumptions'!$G$30-'Assumptions'!$B$31-'Assumptions'!$B$32+'Assumptions'!$G$32)/'Assumptions'!$G$31</x:f>
        <x:v>47.22885007827801</x:v>
      </x:c>
      <x:c r="C6" s="110" t="n">
        <x:f>((SUM('DCF Valuation'!$B$9:$F$9)+('DCF Valuation'!$F$6*(1+$A6)/(C$5-$A6)*'DCF Valuation'!$F$8))+'Assumptions'!$G$30-'Assumptions'!$B$31-'Assumptions'!$B$32+'Assumptions'!$G$32)/'Assumptions'!$G$31</x:f>
        <x:v>44.69710906228204</x:v>
      </x:c>
      <x:c r="D6" s="110" t="n">
        <x:f>((SUM('DCF Valuation'!$B$9:$F$9)+('DCF Valuation'!$F$6*(1+$A6)/(D$5-$A6)*'DCF Valuation'!$F$8))+'Assumptions'!$G$30-'Assumptions'!$B$31-'Assumptions'!$B$32+'Assumptions'!$G$32)/'Assumptions'!$G$31</x:f>
        <x:v>42.48183567328556</x:v>
      </x:c>
      <x:c r="E6" s="110" t="n">
        <x:f>((SUM('DCF Valuation'!$B$9:$F$9)+('DCF Valuation'!$F$6*(1+$A6)/(E$5-$A6)*'DCF Valuation'!$F$8))+'Assumptions'!$G$30-'Assumptions'!$B$31-'Assumptions'!$B$32+'Assumptions'!$G$32)/'Assumptions'!$G$31</x:f>
        <x:v>40.52718268299455</x:v>
      </x:c>
      <x:c r="F6" s="110" t="n">
        <x:f>((SUM('DCF Valuation'!$B$9:$F$9)+('DCF Valuation'!$F$6*(1+$A6)/(F$5-$A6)*'DCF Valuation'!$F$8))+'Assumptions'!$G$30-'Assumptions'!$B$31-'Assumptions'!$B$32+'Assumptions'!$G$32)/'Assumptions'!$G$31</x:f>
        <x:v>38.78971335829144</x:v>
      </x:c>
      <x:c r="G6" s="111" t="n">
        <x:f>((SUM('DCF Valuation'!$B$9:$F$9)+('DCF Valuation'!$F$6*(1+$A6)/(G$5-$A6)*'DCF Valuation'!$F$8))+'Assumptions'!$G$30-'Assumptions'!$B$31-'Assumptions'!$B$32+'Assumptions'!$G$32)/'Assumptions'!$G$31</x:f>
        <x:v>37.235135541451804</x:v>
      </x:c>
      <x:c r="I6" s="28" t="str">
        <x:v>Bear</x:v>
      </x:c>
      <x:c r="J6" s="111" t="n">
        <x:f>INDEX(B6:G11,1,6)</x:f>
        <x:v>37.235135541451804</x:v>
      </x:c>
    </x:row>
    <x:row r="7">
      <x:c r="A7" s="101" t="n">
        <x:v>0.02</x:v>
      </x:c>
      <x:c r="B7" s="98" t="n">
        <x:f>((SUM('DCF Valuation'!$B$9:$F$9)+('DCF Valuation'!$F$6*(1+$A7)/(B$5-$A7)*'DCF Valuation'!$F$8))+'Assumptions'!$G$30-'Assumptions'!$B$31-'Assumptions'!$B$32+'Assumptions'!$G$32)/'Assumptions'!$G$31</x:f>
        <x:v>50.3515545144534</x:v>
      </x:c>
      <x:c r="C7" s="98" t="n">
        <x:f>((SUM('DCF Valuation'!$B$9:$F$9)+('DCF Valuation'!$F$6*(1+$A7)/(C$5-$A7)*'DCF Valuation'!$F$8))+'Assumptions'!$G$30-'Assumptions'!$B$31-'Assumptions'!$B$32+'Assumptions'!$G$32)/'Assumptions'!$G$31</x:f>
        <x:v>47.415924537588054</x:v>
      </x:c>
      <x:c r="D7" s="98" t="n">
        <x:f>((SUM('DCF Valuation'!$B$9:$F$9)+('DCF Valuation'!$F$6*(1+$A7)/(D$5-$A7)*'DCF Valuation'!$F$8))+'Assumptions'!$G$30-'Assumptions'!$B$31-'Assumptions'!$B$32+'Assumptions'!$G$32)/'Assumptions'!$G$31</x:f>
        <x:v>44.87171189097142</x:v>
      </x:c>
      <x:c r="E7" s="98" t="n">
        <x:f>((SUM('DCF Valuation'!$B$9:$F$9)+('DCF Valuation'!$F$6*(1+$A7)/(E$5-$A7)*'DCF Valuation'!$F$8))+'Assumptions'!$G$30-'Assumptions'!$B$31-'Assumptions'!$B$32+'Assumptions'!$G$32)/'Assumptions'!$G$31</x:f>
        <x:v>42.64552582518185</x:v>
      </x:c>
      <x:c r="F7" s="98" t="n">
        <x:f>((SUM('DCF Valuation'!$B$9:$F$9)+('DCF Valuation'!$F$6*(1+$A7)/(F$5-$A7)*'DCF Valuation'!$F$8))+'Assumptions'!$G$30-'Assumptions'!$B$31-'Assumptions'!$B$32+'Assumptions'!$G$32)/'Assumptions'!$G$31</x:f>
        <x:v>40.68124400242636</x:v>
      </x:c>
      <x:c r="G7" s="112" t="n">
        <x:f>((SUM('DCF Valuation'!$B$9:$F$9)+('DCF Valuation'!$F$6*(1+$A7)/(G$5-$A7)*'DCF Valuation'!$F$8))+'Assumptions'!$G$30-'Assumptions'!$B$31-'Assumptions'!$B$32+'Assumptions'!$G$32)/'Assumptions'!$G$31</x:f>
        <x:v>38.935215715532586</x:v>
      </x:c>
      <x:c r="I7" s="31" t="str">
        <x:v>Base</x:v>
      </x:c>
      <x:c r="J7" s="112" t="n">
        <x:f>'DCF Valuation'!B21</x:f>
        <x:v>47.60299899689809</x:v>
      </x:c>
    </x:row>
    <x:row r="8">
      <x:c r="A8" s="101" t="n">
        <x:v>0.025</x:v>
      </x:c>
      <x:c r="B8" s="98" t="n">
        <x:f>((SUM('DCF Valuation'!$B$9:$F$9)+('DCF Valuation'!$F$6*(1+$A8)/(B$5-$A8)*'DCF Valuation'!$F$8))+'Assumptions'!$G$30-'Assumptions'!$B$31-'Assumptions'!$B$32+'Assumptions'!$G$32)/'Assumptions'!$G$31</x:f>
        <x:v>53.99470968999137</x:v>
      </x:c>
      <x:c r="C8" s="98" t="n">
        <x:f>((SUM('DCF Valuation'!$B$9:$F$9)+('DCF Valuation'!$F$6*(1+$A8)/(C$5-$A8)*'DCF Valuation'!$F$8))+'Assumptions'!$G$30-'Assumptions'!$B$31-'Assumptions'!$B$32+'Assumptions'!$G$32)/'Assumptions'!$G$31</x:f>
        <x:v>50.5530193167873</x:v>
      </x:c>
      <x:c r="D8" s="98" t="n">
        <x:f>((SUM('DCF Valuation'!$B$9:$F$9)+('DCF Valuation'!$F$6*(1+$A8)/(D$5-$A8)*'DCF Valuation'!$F$8))+'Assumptions'!$G$30-'Assumptions'!$B$31-'Assumptions'!$B$32+'Assumptions'!$G$32)/'Assumptions'!$G$31</x:f>
        <x:v>47.60299899689809</x:v>
      </x:c>
      <x:c r="E8" s="98" t="n">
        <x:f>((SUM('DCF Valuation'!$B$9:$F$9)+('DCF Valuation'!$F$6*(1+$A8)/(E$5-$A8)*'DCF Valuation'!$F$8))+'Assumptions'!$G$30-'Assumptions'!$B$31-'Assumptions'!$B$32+'Assumptions'!$G$32)/'Assumptions'!$G$31</x:f>
        <x:v>45.04631471966078</x:v>
      </x:c>
      <x:c r="F8" s="98" t="n">
        <x:f>((SUM('DCF Valuation'!$B$9:$F$9)+('DCF Valuation'!$F$6*(1+$A8)/(F$5-$A8)*'DCF Valuation'!$F$8))+'Assumptions'!$G$30-'Assumptions'!$B$31-'Assumptions'!$B$32+'Assumptions'!$G$32)/'Assumptions'!$G$31</x:f>
        <x:v>42.809215977078146</x:v>
      </x:c>
      <x:c r="G8" s="112" t="n">
        <x:f>((SUM('DCF Valuation'!$B$9:$F$9)+('DCF Valuation'!$F$6*(1+$A8)/(G$5-$A8)*'DCF Valuation'!$F$8))+'Assumptions'!$G$30-'Assumptions'!$B$31-'Assumptions'!$B$32+'Assumptions'!$G$32)/'Assumptions'!$G$31</x:f>
        <x:v>40.83530532185816</x:v>
      </x:c>
      <x:c r="I8" s="31" t="str">
        <x:v>Bull</x:v>
      </x:c>
      <x:c r="J8" s="112" t="n">
        <x:f>INDEX(B6:G11,6,1)</x:f>
        <x:v>69.7817154506559</x:v>
      </x:c>
    </x:row>
    <x:row r="9">
      <x:c r="A9" s="101" t="n">
        <x:v>0.03</x:v>
      </x:c>
      <x:c r="B9" s="98" t="n">
        <x:f>((SUM('DCF Valuation'!$B$9:$F$9)+('DCF Valuation'!$F$6*(1+$A9)/(B$5-$A9)*'DCF Valuation'!$F$8))+'Assumptions'!$G$30-'Assumptions'!$B$31-'Assumptions'!$B$32+'Assumptions'!$G$32)/'Assumptions'!$G$31</x:f>
        <x:v>58.30025671562714</x:v>
      </x:c>
      <x:c r="C9" s="98" t="n">
        <x:f>((SUM('DCF Valuation'!$B$9:$F$9)+('DCF Valuation'!$F$6*(1+$A9)/(C$5-$A9)*'DCF Valuation'!$F$8))+'Assumptions'!$G$30-'Assumptions'!$B$31-'Assumptions'!$B$32+'Assumptions'!$G$32)/'Assumptions'!$G$31</x:f>
        <x:v>54.2129632258531</x:v>
      </x:c>
      <x:c r="D9" s="98" t="n">
        <x:f>((SUM('DCF Valuation'!$B$9:$F$9)+('DCF Valuation'!$F$6*(1+$A9)/(D$5-$A9)*'DCF Valuation'!$F$8))+'Assumptions'!$G$30-'Assumptions'!$B$31-'Assumptions'!$B$32+'Assumptions'!$G$32)/'Assumptions'!$G$31</x:f>
        <x:v>50.7544841191212</x:v>
      </x:c>
      <x:c r="E9" s="98" t="n">
        <x:f>((SUM('DCF Valuation'!$B$9:$F$9)+('DCF Valuation'!$F$6*(1+$A9)/(E$5-$A9)*'DCF Valuation'!$F$8))+'Assumptions'!$G$30-'Assumptions'!$B$31-'Assumptions'!$B$32+'Assumptions'!$G$32)/'Assumptions'!$G$31</x:f>
        <x:v>47.79007345620815</x:v>
      </x:c>
      <x:c r="F9" s="98" t="n">
        <x:f>((SUM('DCF Valuation'!$B$9:$F$9)+('DCF Valuation'!$F$6*(1+$A9)/(F$5-$A9)*'DCF Valuation'!$F$8))+'Assumptions'!$G$30-'Assumptions'!$B$31-'Assumptions'!$B$32+'Assumptions'!$G$32)/'Assumptions'!$G$31</x:f>
        <x:v>45.22091754835017</x:v>
      </x:c>
      <x:c r="G9" s="112" t="n">
        <x:f>((SUM('DCF Valuation'!$B$9:$F$9)+('DCF Valuation'!$F$6*(1+$A9)/(G$5-$A9)*'DCF Valuation'!$F$8))+'Assumptions'!$G$30-'Assumptions'!$B$31-'Assumptions'!$B$32+'Assumptions'!$G$32)/'Assumptions'!$G$31</x:f>
        <x:v>42.97290612897443</x:v>
      </x:c>
      <x:c r="I9" s="31" t="str">
        <x:v>Model Status</x:v>
      </x:c>
      <x:c r="J9" s="115" t="str">
        <x:f>Checks!F12</x:f>
        <x:v>Aggregates all above checks</x:v>
      </x:c>
    </x:row>
    <x:row r="10">
      <x:c r="A10" s="101" t="n">
        <x:v>0.035</x:v>
      </x:c>
      <x:c r="B10" s="98" t="n">
        <x:f>((SUM('DCF Valuation'!$B$9:$F$9)+('DCF Valuation'!$F$6*(1+$A10)/(B$5-$A10)*'DCF Valuation'!$F$8))+'Assumptions'!$G$30-'Assumptions'!$B$31-'Assumptions'!$B$32+'Assumptions'!$G$32)/'Assumptions'!$G$31</x:f>
        <x:v>63.46691314639007</x:v>
      </x:c>
      <x:c r="C10" s="98" t="n">
        <x:f>((SUM('DCF Valuation'!$B$9:$F$9)+('DCF Valuation'!$F$6*(1+$A10)/(C$5-$A10)*'DCF Valuation'!$F$8))+'Assumptions'!$G$30-'Assumptions'!$B$31-'Assumptions'!$B$32+'Assumptions'!$G$32)/'Assumptions'!$G$31</x:f>
        <x:v>58.53835148202175</x:v>
      </x:c>
      <x:c r="D10" s="98" t="n">
        <x:f>((SUM('DCF Valuation'!$B$9:$F$9)+('DCF Valuation'!$F$6*(1+$A10)/(D$5-$A10)*'DCF Valuation'!$F$8))+'Assumptions'!$G$30-'Assumptions'!$B$31-'Assumptions'!$B$32+'Assumptions'!$G$32)/'Assumptions'!$G$31</x:f>
        <x:v>54.43121676171481</x:v>
      </x:c>
      <x:c r="E10" s="98" t="n">
        <x:f>((SUM('DCF Valuation'!$B$9:$F$9)+('DCF Valuation'!$F$6*(1+$A10)/(E$5-$A10)*'DCF Valuation'!$F$8))+'Assumptions'!$G$30-'Assumptions'!$B$31-'Assumptions'!$B$32+'Assumptions'!$G$32)/'Assumptions'!$G$31</x:f>
        <x:v>50.95594892145509</x:v>
      </x:c>
      <x:c r="F10" s="98" t="n">
        <x:f>((SUM('DCF Valuation'!$B$9:$F$9)+('DCF Valuation'!$F$6*(1+$A10)/(F$5-$A10)*'DCF Valuation'!$F$8))+'Assumptions'!$G$30-'Assumptions'!$B$31-'Assumptions'!$B$32+'Assumptions'!$G$32)/'Assumptions'!$G$31</x:f>
        <x:v>47.977147915518195</x:v>
      </x:c>
      <x:c r="G10" s="112" t="n">
        <x:f>((SUM('DCF Valuation'!$B$9:$F$9)+('DCF Valuation'!$F$6*(1+$A10)/(G$5-$A10)*'DCF Valuation'!$F$8))+'Assumptions'!$G$30-'Assumptions'!$B$31-'Assumptions'!$B$32+'Assumptions'!$G$32)/'Assumptions'!$G$31</x:f>
        <x:v>45.39552037703954</x:v>
      </x:c>
      <x:c r="I10" s="34" t="str">
        <x:v>Current Implied Share Price</x:v>
      </x:c>
      <x:c r="J10" s="114" t="n">
        <x:f>'DCF Valuation'!B21</x:f>
        <x:v>47.60299899689809</x:v>
      </x:c>
    </x:row>
    <x:row r="11">
      <x:c r="A11" s="102" t="n">
        <x:v>0.04</x:v>
      </x:c>
      <x:c r="B11" s="113" t="n">
        <x:f>((SUM('DCF Valuation'!$B$9:$F$9)+('DCF Valuation'!$F$6*(1+$A11)/(B$5-$A11)*'DCF Valuation'!$F$8))+'Assumptions'!$G$30-'Assumptions'!$B$31-'Assumptions'!$B$32+'Assumptions'!$G$32)/'Assumptions'!$G$31</x:f>
        <x:v>69.7817154506559</x:v>
      </x:c>
      <x:c r="C11" s="113" t="n">
        <x:f>((SUM('DCF Valuation'!$B$9:$F$9)+('DCF Valuation'!$F$6*(1+$A11)/(C$5-$A11)*'DCF Valuation'!$F$8))+'Assumptions'!$G$30-'Assumptions'!$B$31-'Assumptions'!$B$32+'Assumptions'!$G$32)/'Assumptions'!$G$31</x:f>
        <x:v>63.72881738942416</x:v>
      </x:c>
      <x:c r="D11" s="113" t="n">
        <x:f>((SUM('DCF Valuation'!$B$9:$F$9)+('DCF Valuation'!$F$6*(1+$A11)/(D$5-$A11)*'DCF Valuation'!$F$8))+'Assumptions'!$G$30-'Assumptions'!$B$31-'Assumptions'!$B$32+'Assumptions'!$G$32)/'Assumptions'!$G$31</x:f>
        <x:v>58.776446248416356</x:v>
      </x:c>
      <x:c r="E11" s="113" t="n">
        <x:f>((SUM('DCF Valuation'!$B$9:$F$9)+('DCF Valuation'!$F$6*(1+$A11)/(E$5-$A11)*'DCF Valuation'!$F$8))+'Assumptions'!$G$30-'Assumptions'!$B$31-'Assumptions'!$B$32+'Assumptions'!$G$32)/'Assumptions'!$G$31</x:f>
        <x:v>54.64947029757653</x:v>
      </x:c>
      <x:c r="F11" s="113" t="n">
        <x:f>((SUM('DCF Valuation'!$B$9:$F$9)+('DCF Valuation'!$F$6*(1+$A11)/(F$5-$A11)*'DCF Valuation'!$F$8))+'Assumptions'!$G$30-'Assumptions'!$B$31-'Assumptions'!$B$32+'Assumptions'!$G$32)/'Assumptions'!$G$31</x:f>
        <x:v>51.15741372378899</x:v>
      </x:c>
      <x:c r="G11" s="114" t="n">
        <x:f>((SUM('DCF Valuation'!$B$9:$F$9)+('DCF Valuation'!$F$6*(1+$A11)/(G$5-$A11)*'DCF Valuation'!$F$8))+'Assumptions'!$G$30-'Assumptions'!$B$31-'Assumptions'!$B$32+'Assumptions'!$G$32)/'Assumptions'!$G$31</x:f>
        <x:v>48.16422237482824</x:v>
      </x:c>
    </x:row>
  </x:sheetData>
  <x:mergeCells>
    <x:mergeCell ref="A1:I1"/>
    <x:mergeCell ref="A2:H2"/>
    <x:mergeCell ref="A4:I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5" hidden="0" customWidth="1"/>
    <x:col min="3" max="3" width="15" hidden="0" customWidth="1"/>
    <x:col min="4" max="4" width="15" hidden="0" customWidth="1"/>
    <x:col min="5" max="5" width="11.25" hidden="0" customWidth="1"/>
    <x:col min="6" max="6" width="32.5" hidden="0" customWidth="1"/>
  </x:cols>
  <x:sheetData>
    <x:row r="1" ht="25.5" customHeight="1">
      <x:c r="A1" s="5" t="str">
        <x:v>Model Checks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9" t="str">
        <x:v>Each check should read OK before using the model for decisions.</x:v>
      </x:c>
      <x:c r="B2" s="9"/>
      <x:c r="C2" s="9"/>
      <x:c r="D2" s="9"/>
      <x:c r="E2" s="9"/>
      <x:c r="F2" s="9"/>
      <x:c r="G2" s="9"/>
      <x:c r="H2" s="9"/>
    </x:row>
    <x:row r="4">
      <x:c r="A4" s="26" t="str">
        <x:v>Check</x:v>
      </x:c>
      <x:c r="B4" s="26" t="str">
        <x:v>Actual</x:v>
      </x:c>
      <x:c r="C4" s="26" t="str">
        <x:v>Expected</x:v>
      </x:c>
      <x:c r="D4" s="26" t="str">
        <x:v>Difference</x:v>
      </x:c>
      <x:c r="E4" s="26" t="str">
        <x:v>Status</x:v>
      </x:c>
      <x:c r="F4" s="26" t="str">
        <x:v>Notes</x:v>
      </x:c>
    </x:row>
    <x:row r="5">
      <x:c r="A5" s="28" t="str">
        <x:v>Historical FCF formula tie</x:v>
      </x:c>
      <x:c r="B5" s="116" t="n">
        <x:f>'Historical Financials'!F17</x:f>
        <x:v>504</x:v>
      </x:c>
      <x:c r="C5" s="116" t="n">
        <x:f>'Historical Financials'!F12+'Historical Financials'!F13-'Historical Financials'!F11+'Historical Financials'!F14-'Historical Financials'!F16</x:f>
        <x:v>504</x:v>
      </x:c>
      <x:c r="D5" s="116" t="n">
        <x:f>B5-C5</x:f>
        <x:v>0</x:v>
      </x:c>
      <x:c r="E5" s="81" t="str">
        <x:f>IF(ABS(D5)&lt;0.1,"OK","Check")</x:f>
        <x:v>OK</x:v>
      </x:c>
      <x:c r="F5" s="30" t="str">
        <x:v>FY2026 FCF should tie to formula components</x:v>
      </x:c>
    </x:row>
    <x:row r="6">
      <x:c r="A6" s="31" t="str">
        <x:v>Forecast FCF formula tie</x:v>
      </x:c>
      <x:c r="B6" s="97" t="n">
        <x:f>'Forecast Model'!G22</x:f>
        <x:v>827.4187637935956</x:v>
      </x:c>
      <x:c r="C6" s="97" t="n">
        <x:f>'Forecast Model'!G17+'Forecast Model'!G18-'Forecast Model'!G16+'Forecast Model'!G19-'Forecast Model'!G21</x:f>
        <x:v>827.4187637935956</x:v>
      </x:c>
      <x:c r="D6" s="97" t="n">
        <x:f>B6-C6</x:f>
        <x:v>0</x:v>
      </x:c>
      <x:c r="E6" s="62" t="str">
        <x:f>IF(ABS(D6)&lt;0.1,"OK","Check")</x:f>
        <x:v>OK</x:v>
      </x:c>
      <x:c r="F6" s="33" t="str">
        <x:v>FY2031 FCF should tie to formula components</x:v>
      </x:c>
    </x:row>
    <x:row r="7">
      <x:c r="A7" s="31" t="str">
        <x:v>Terminal growth below WACC</x:v>
      </x:c>
      <x:c r="B7" s="97" t="n">
        <x:f>'Assumptions'!B29</x:f>
        <x:v>0.095</x:v>
      </x:c>
      <x:c r="C7" s="97" t="n">
        <x:f>'Assumptions'!G29</x:f>
        <x:v>0.025</x:v>
      </x:c>
      <x:c r="D7" s="97" t="n">
        <x:f>B7-C7</x:f>
        <x:v>0.07</x:v>
      </x:c>
      <x:c r="E7" s="62" t="str">
        <x:f>IF(B7&gt;C7,"OK","Check")</x:f>
        <x:v>OK</x:v>
      </x:c>
      <x:c r="F7" s="33" t="str">
        <x:v>Gordon Growth terminal value requires WACC &gt; terminal growth</x:v>
      </x:c>
    </x:row>
    <x:row r="8">
      <x:c r="A8" s="31" t="str">
        <x:v>Enterprise value bridge</x:v>
      </x:c>
      <x:c r="B8" s="97" t="n">
        <x:f>'DCF Valuation'!B14</x:f>
        <x:v>10381.629789348599</x:v>
      </x:c>
      <x:c r="C8" s="97" t="n">
        <x:f>SUM('DCF Valuation'!B9:F9)+'DCF Valuation'!G12</x:f>
        <x:v>10381.629789348599</x:v>
      </x:c>
      <x:c r="D8" s="97" t="n">
        <x:f>B8-C8</x:f>
        <x:v>0</x:v>
      </x:c>
      <x:c r="E8" s="62" t="str">
        <x:f>IF(ABS(D8)&lt;0.1,"OK","Check")</x:f>
        <x:v>OK</x:v>
      </x:c>
      <x:c r="F8" s="33" t="str">
        <x:v>EV should equal PV of forecast FCF plus PV terminal value</x:v>
      </x:c>
    </x:row>
    <x:row r="9">
      <x:c r="A9" s="31" t="str">
        <x:v>Equity value bridge</x:v>
      </x:c>
      <x:c r="B9" s="97" t="n">
        <x:f>'DCF Valuation'!B19</x:f>
        <x:v>9996.629789348599</x:v>
      </x:c>
      <x:c r="C9" s="97" t="n">
        <x:f>'DCF Valuation'!B14+'DCF Valuation'!B15-'DCF Valuation'!B16-'DCF Valuation'!B17+'DCF Valuation'!B18</x:f>
        <x:v>9996.629789348599</x:v>
      </x:c>
      <x:c r="D9" s="97" t="n">
        <x:f>B9-C9</x:f>
        <x:v>0</x:v>
      </x:c>
      <x:c r="E9" s="62" t="str">
        <x:f>IF(ABS(D9)&lt;0.1,"OK","Check")</x:f>
        <x:v>OK</x:v>
      </x:c>
      <x:c r="F9" s="33" t="str">
        <x:v>Equity value bridge should tie to valuation rows</x:v>
      </x:c>
    </x:row>
    <x:row r="10">
      <x:c r="A10" s="31" t="str">
        <x:v>Shares positive</x:v>
      </x:c>
      <x:c r="B10" s="97" t="n">
        <x:f>'Assumptions'!G31</x:f>
        <x:v>210</x:v>
      </x:c>
      <x:c r="C10" s="97" t="n">
        <x:f>0</x:f>
        <x:v>0</x:v>
      </x:c>
      <x:c r="D10" s="97" t="n">
        <x:f>B10-C10</x:f>
        <x:v>210</x:v>
      </x:c>
      <x:c r="E10" s="62" t="str">
        <x:f>IF(B10&gt;0,"OK","Check")</x:f>
        <x:v>OK</x:v>
      </x:c>
      <x:c r="F10" s="33" t="str">
        <x:v>Diluted share count must be greater than zero</x:v>
      </x:c>
    </x:row>
    <x:row r="11">
      <x:c r="A11" s="31" t="str">
        <x:v>No missing key assumptions</x:v>
      </x:c>
      <x:c r="B11" s="97" t="n">
        <x:f>COUNTBLANK('Assumptions'!B29:B32)+COUNTBLANK('Assumptions'!G29:G32)</x:f>
        <x:v>0</x:v>
      </x:c>
      <x:c r="C11" s="97" t="n">
        <x:f>0</x:f>
        <x:v>0</x:v>
      </x:c>
      <x:c r="D11" s="97" t="n">
        <x:f>B11-C11</x:f>
        <x:v>0</x:v>
      </x:c>
      <x:c r="E11" s="62" t="str">
        <x:f>IF(B11=0,"OK","Check")</x:f>
        <x:v>OK</x:v>
      </x:c>
      <x:c r="F11" s="33" t="str">
        <x:v>WACC, terminal growth, cash, debt, shares populated</x:v>
      </x:c>
    </x:row>
    <x:row r="12">
      <x:c r="A12" s="34" t="str">
        <x:v>Overall Model Status</x:v>
      </x:c>
      <x:c r="B12" s="117" t="n">
        <x:f>COUNTIF(E5:E11,"OK")</x:f>
        <x:v>7</x:v>
      </x:c>
      <x:c r="C12" s="117" t="n">
        <x:f>7</x:f>
        <x:v>7</x:v>
      </x:c>
      <x:c r="D12" s="117" t="n">
        <x:f>B12-C12</x:f>
        <x:v>0</x:v>
      </x:c>
      <x:c r="E12" s="82" t="str">
        <x:f>IF(B12=C12,"OK","Check")</x:f>
        <x:v>OK</x:v>
      </x:c>
      <x:c r="F12" s="36" t="str">
        <x:v>Aggregates all above checks</x:v>
      </x:c>
    </x:row>
  </x:sheetData>
  <x:mergeCells>
    <x:mergeCell ref="A1:F1"/>
    <x:mergeCell ref="A2:H2"/>
  </x:mergeCells>
  <x:conditionalFormatting sqref="E5:E12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8.75" hidden="0" customWidth="1"/>
    <x:col min="3" max="3" width="15" hidden="0" customWidth="1"/>
    <x:col min="4" max="4" width="15" hidden="0" customWidth="1"/>
    <x:col min="5" max="5" width="27.5" hidden="0" customWidth="1"/>
    <x:col min="6" max="6" width="42.5" hidden="0" customWidth="1"/>
    <x:col min="7" max="7" width="42.5" hidden="0" customWidth="1"/>
  </x:cols>
  <x:sheetData>
    <x:row r="1" ht="25.5" customHeight="1">
      <x:c r="A1" s="5" t="str">
        <x:v>Sources &amp; Audit Trail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9" t="str">
        <x:v>Replace placeholder rows with actual filings, transcripts, investor decks, and market data links.</x:v>
      </x:c>
      <x:c r="B2" s="9"/>
      <x:c r="C2" s="9"/>
      <x:c r="D2" s="9"/>
      <x:c r="E2" s="9"/>
      <x:c r="F2" s="9"/>
      <x:c r="G2" s="9"/>
      <x:c r="H2" s="9"/>
    </x:row>
    <x:row r="4">
      <x:c r="A4" s="26" t="str">
        <x:v>Source ID</x:v>
      </x:c>
      <x:c r="B4" s="26" t="str">
        <x:v>Item</x:v>
      </x:c>
      <x:c r="C4" s="26" t="str">
        <x:v>Period / As Of</x:v>
      </x:c>
      <x:c r="D4" s="26" t="str">
        <x:v>Units</x:v>
      </x:c>
      <x:c r="E4" s="26" t="str">
        <x:v>Source Name</x:v>
      </x:c>
      <x:c r="F4" s="26" t="str">
        <x:v>Plain-Text URL</x:v>
      </x:c>
      <x:c r="G4" s="26" t="str">
        <x:v>Notes</x:v>
      </x:c>
    </x:row>
    <x:row r="5">
      <x:c r="A5" s="118" t="str">
        <x:v>SRC-001</x:v>
      </x:c>
      <x:c r="B5" s="119" t="str">
        <x:v>Historical financial statements</x:v>
      </x:c>
      <x:c r="C5" s="119" t="str">
        <x:v>FY2022-FY2026</x:v>
      </x:c>
      <x:c r="D5" s="119" t="str">
        <x:v>$mm</x:v>
      </x:c>
      <x:c r="E5" s="119" t="str">
        <x:v>Company annual reports / 10-K</x:v>
      </x:c>
      <x:c r="F5" s="120" t="str">
        <x:v>Add company filing URL here</x:v>
      </x:c>
      <x:c r="G5" s="121" t="str">
        <x:v>Illustrative values in this template are not source-backed.</x:v>
      </x:c>
    </x:row>
    <x:row r="6">
      <x:c r="A6" s="122" t="str">
        <x:v>SRC-002</x:v>
      </x:c>
      <x:c r="B6" s="123" t="str">
        <x:v>Cash and debt</x:v>
      </x:c>
      <x:c r="C6" s="123" t="str">
        <x:v>FY2026</x:v>
      </x:c>
      <x:c r="D6" s="123" t="str">
        <x:v>$mm</x:v>
      </x:c>
      <x:c r="E6" s="123" t="str">
        <x:v>Company balance sheet</x:v>
      </x:c>
      <x:c r="F6" s="124" t="str">
        <x:v>Add company balance sheet URL here</x:v>
      </x:c>
      <x:c r="G6" s="125" t="str">
        <x:v>Use latest reported balance sheet.</x:v>
      </x:c>
    </x:row>
    <x:row r="7">
      <x:c r="A7" s="122" t="str">
        <x:v>SRC-003</x:v>
      </x:c>
      <x:c r="B7" s="123" t="str">
        <x:v>Diluted shares</x:v>
      </x:c>
      <x:c r="C7" s="123" t="str">
        <x:v>FY2026</x:v>
      </x:c>
      <x:c r="D7" s="123" t="str">
        <x:v>mm shares</x:v>
      </x:c>
      <x:c r="E7" s="123" t="str">
        <x:v>Company annual report / 10-K</x:v>
      </x:c>
      <x:c r="F7" s="124" t="str">
        <x:v>Add company share count source URL here</x:v>
      </x:c>
      <x:c r="G7" s="125" t="str">
        <x:v>Use diluted weighted average or current diluted shares consistently.</x:v>
      </x:c>
    </x:row>
    <x:row r="8">
      <x:c r="A8" s="122" t="str">
        <x:v>SRC-004</x:v>
      </x:c>
      <x:c r="B8" s="123" t="str">
        <x:v>Market data</x:v>
      </x:c>
      <x:c r="C8" s="123" t="str">
        <x:v>Valuation date</x:v>
      </x:c>
      <x:c r="D8" s="123" t="str">
        <x:v>Various</x:v>
      </x:c>
      <x:c r="E8" s="123" t="str">
        <x:v>Market data provider</x:v>
      </x:c>
      <x:c r="F8" s="124" t="str">
        <x:v>Add market data URL here</x:v>
      </x:c>
      <x:c r="G8" s="125" t="str">
        <x:v>Update cash, debt, shares, WACC assumptions.</x:v>
      </x:c>
    </x:row>
    <x:row r="9">
      <x:c r="A9" s="122" t="str">
        <x:v>SRC-005</x:v>
      </x:c>
      <x:c r="B9" s="123" t="str">
        <x:v>Peer valuation</x:v>
      </x:c>
      <x:c r="C9" s="123" t="str">
        <x:v>Valuation date</x:v>
      </x:c>
      <x:c r="D9" s="123" t="str">
        <x:v>x</x:v>
      </x:c>
      <x:c r="E9" s="123" t="str">
        <x:v>Comparable company set</x:v>
      </x:c>
      <x:c r="F9" s="124" t="str">
        <x:v>Add peer comp source URL here</x:v>
      </x:c>
      <x:c r="G9" s="125" t="str">
        <x:v>Optional support for exit multiple.</x:v>
      </x:c>
    </x:row>
    <x:row r="10">
      <x:c r="A10" s="122" t="str"/>
      <x:c r="B10" s="123" t="str"/>
      <x:c r="C10" s="123" t="str"/>
      <x:c r="D10" s="123" t="str"/>
      <x:c r="E10" s="123" t="str"/>
      <x:c r="F10" s="123" t="str"/>
      <x:c r="G10" s="125" t="str"/>
    </x:row>
    <x:row r="11">
      <x:c r="A11" s="126" t="str">
        <x:v>Audit Note</x:v>
      </x:c>
      <x:c r="B11" s="127" t="str">
        <x:v>No specific company name, ticker, or financial filings were provided in the prompt.</x:v>
      </x:c>
      <x:c r="C11" s="127" t="str"/>
      <x:c r="D11" s="127" t="str"/>
      <x:c r="E11" s="127" t="str"/>
      <x:c r="F11" s="127" t="str"/>
      <x:c r="G11" s="128" t="str">
        <x:v>Workbook is prepared as an editable template with example placeholder data.</x:v>
      </x:c>
    </x:row>
  </x:sheetData>
  <x:mergeCells>
    <x:mergeCell ref="A1:G1"/>
    <x:mergeCell ref="A2:H2"/>
  </x:mergeCells>
  <x:pageMargins left="0.7" right="0.7" top="0.75" bottom="0.75" header="0.3" footer="0.3"/>
  <x:legacyDrawing xmlns:r="http://schemas.openxmlformats.org/officeDocument/2006/relationships" r:id="R46f5f6acb0594b26"/>
  <x:tableParts count="1">
    <x:tablePart xmlns:r="http://schemas.openxmlformats.org/officeDocument/2006/relationships" r:id="Rd06712e5abc64c92"/>
  </x:tableParts>
</x:worksheet>
</file>